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45662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45662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45662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45662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45662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45662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45662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45662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45662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45662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45662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45662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45662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45662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45662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45662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45662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45662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45662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45662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45662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45662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45662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45662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45662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45662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45662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45662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45662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45662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45662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45662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45662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45662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45662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45662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45662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23115-2024</t>
        </is>
      </c>
      <c r="B42" s="1" t="n">
        <v>45450</v>
      </c>
      <c r="C42" s="1" t="n">
        <v>45662</v>
      </c>
      <c r="D42" t="inlineStr">
        <is>
          <t>KRONOBERGS LÄN</t>
        </is>
      </c>
      <c r="E42" t="inlineStr">
        <is>
          <t>UPPVIDINGE</t>
        </is>
      </c>
      <c r="G42" t="n">
        <v>4.8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Ullticka</t>
        </is>
      </c>
      <c r="S42">
        <f>HYPERLINK("https://klasma.github.io/Logging_0760/artfynd/A 23115-2024 artfynd.xlsx", "A 23115-2024")</f>
        <v/>
      </c>
      <c r="T42">
        <f>HYPERLINK("https://klasma.github.io/Logging_0760/kartor/A 23115-2024 karta.png", "A 23115-2024")</f>
        <v/>
      </c>
      <c r="U42">
        <f>HYPERLINK("https://klasma.github.io/Logging_0760/knärot/A 23115-2024 karta knärot.png", "A 23115-2024")</f>
        <v/>
      </c>
      <c r="V42">
        <f>HYPERLINK("https://klasma.github.io/Logging_0760/klagomål/A 23115-2024 FSC-klagomål.docx", "A 23115-2024")</f>
        <v/>
      </c>
      <c r="W42">
        <f>HYPERLINK("https://klasma.github.io/Logging_0760/klagomålsmail/A 23115-2024 FSC-klagomål mail.docx", "A 23115-2024")</f>
        <v/>
      </c>
      <c r="X42">
        <f>HYPERLINK("https://klasma.github.io/Logging_0760/tillsyn/A 23115-2024 tillsynsbegäran.docx", "A 23115-2024")</f>
        <v/>
      </c>
      <c r="Y42">
        <f>HYPERLINK("https://klasma.github.io/Logging_0760/tillsynsmail/A 23115-2024 tillsynsbegäran mail.docx", "A 23115-2024")</f>
        <v/>
      </c>
    </row>
    <row r="43" ht="15" customHeight="1">
      <c r="A43" t="inlineStr">
        <is>
          <t>A 32944-2024</t>
        </is>
      </c>
      <c r="B43" s="1" t="n">
        <v>45517</v>
      </c>
      <c r="C43" s="1" t="n">
        <v>45662</v>
      </c>
      <c r="D43" t="inlineStr">
        <is>
          <t>KRONOBERGS LÄN</t>
        </is>
      </c>
      <c r="E43" t="inlineStr">
        <is>
          <t>UPPVIDINGE</t>
        </is>
      </c>
      <c r="G43" t="n">
        <v>7.9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HYPERLINK("https://klasma.github.io/Logging_0760/artfynd/A 32944-2024 artfynd.xlsx", "A 32944-2024")</f>
        <v/>
      </c>
      <c r="T43">
        <f>HYPERLINK("https://klasma.github.io/Logging_0760/kartor/A 32944-2024 karta.png", "A 32944-2024")</f>
        <v/>
      </c>
      <c r="V43">
        <f>HYPERLINK("https://klasma.github.io/Logging_0760/klagomål/A 32944-2024 FSC-klagomål.docx", "A 32944-2024")</f>
        <v/>
      </c>
      <c r="W43">
        <f>HYPERLINK("https://klasma.github.io/Logging_0760/klagomålsmail/A 32944-2024 FSC-klagomål mail.docx", "A 32944-2024")</f>
        <v/>
      </c>
      <c r="X43">
        <f>HYPERLINK("https://klasma.github.io/Logging_0760/tillsyn/A 32944-2024 tillsynsbegäran.docx", "A 32944-2024")</f>
        <v/>
      </c>
      <c r="Y43">
        <f>HYPERLINK("https://klasma.github.io/Logging_0760/tillsynsmail/A 32944-2024 tillsynsbegäran mail.docx", "A 32944-2024")</f>
        <v/>
      </c>
    </row>
    <row r="44" ht="15" customHeight="1">
      <c r="A44" t="inlineStr">
        <is>
          <t>A 39199-2024</t>
        </is>
      </c>
      <c r="B44" s="1" t="n">
        <v>45548</v>
      </c>
      <c r="C44" s="1" t="n">
        <v>45662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Strimspindling</t>
        </is>
      </c>
      <c r="S44">
        <f>HYPERLINK("https://klasma.github.io/Logging_0760/artfynd/A 39199-2024 artfynd.xlsx", "A 39199-2024")</f>
        <v/>
      </c>
      <c r="T44">
        <f>HYPERLINK("https://klasma.github.io/Logging_0760/kartor/A 39199-2024 karta.png", "A 39199-2024")</f>
        <v/>
      </c>
      <c r="V44">
        <f>HYPERLINK("https://klasma.github.io/Logging_0760/klagomål/A 39199-2024 FSC-klagomål.docx", "A 39199-2024")</f>
        <v/>
      </c>
      <c r="W44">
        <f>HYPERLINK("https://klasma.github.io/Logging_0760/klagomålsmail/A 39199-2024 FSC-klagomål mail.docx", "A 39199-2024")</f>
        <v/>
      </c>
      <c r="X44">
        <f>HYPERLINK("https://klasma.github.io/Logging_0760/tillsyn/A 39199-2024 tillsynsbegäran.docx", "A 39199-2024")</f>
        <v/>
      </c>
      <c r="Y44">
        <f>HYPERLINK("https://klasma.github.io/Logging_0760/tillsynsmail/A 39199-2024 tillsynsbegäran mail.docx", "A 39199-2024")</f>
        <v/>
      </c>
    </row>
    <row r="45" ht="15" customHeight="1">
      <c r="A45" t="inlineStr">
        <is>
          <t>A 51177-2024</t>
        </is>
      </c>
      <c r="B45" s="1" t="n">
        <v>45603</v>
      </c>
      <c r="C45" s="1" t="n">
        <v>45662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51177-2024 artfynd.xlsx", "A 51177-2024")</f>
        <v/>
      </c>
      <c r="T45">
        <f>HYPERLINK("https://klasma.github.io/Logging_0760/kartor/A 51177-2024 karta.png", "A 51177-2024")</f>
        <v/>
      </c>
      <c r="U45">
        <f>HYPERLINK("https://klasma.github.io/Logging_0760/knärot/A 51177-2024 karta knärot.png", "A 51177-2024")</f>
        <v/>
      </c>
      <c r="V45">
        <f>HYPERLINK("https://klasma.github.io/Logging_0760/klagomål/A 51177-2024 FSC-klagomål.docx", "A 51177-2024")</f>
        <v/>
      </c>
      <c r="W45">
        <f>HYPERLINK("https://klasma.github.io/Logging_0760/klagomålsmail/A 51177-2024 FSC-klagomål mail.docx", "A 51177-2024")</f>
        <v/>
      </c>
      <c r="X45">
        <f>HYPERLINK("https://klasma.github.io/Logging_0760/tillsyn/A 51177-2024 tillsynsbegäran.docx", "A 51177-2024")</f>
        <v/>
      </c>
      <c r="Y45">
        <f>HYPERLINK("https://klasma.github.io/Logging_0760/tillsynsmail/A 51177-2024 tillsynsbegäran mail.docx", "A 51177-2024")</f>
        <v/>
      </c>
    </row>
    <row r="46" ht="15" customHeight="1">
      <c r="A46" t="inlineStr">
        <is>
          <t>A 51489-2024</t>
        </is>
      </c>
      <c r="B46" s="1" t="n">
        <v>45604</v>
      </c>
      <c r="C46" s="1" t="n">
        <v>45662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29192-2019</t>
        </is>
      </c>
      <c r="B47" s="1" t="n">
        <v>43623</v>
      </c>
      <c r="C47" s="1" t="n">
        <v>45662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HYPERLINK("https://klasma.github.io/Logging_0760/artfynd/A 29192-2019 artfynd.xlsx", "A 29192-2019")</f>
        <v/>
      </c>
      <c r="T47">
        <f>HYPERLINK("https://klasma.github.io/Logging_0760/kartor/A 29192-2019 karta.png", "A 29192-2019")</f>
        <v/>
      </c>
      <c r="V47">
        <f>HYPERLINK("https://klasma.github.io/Logging_0760/klagomål/A 29192-2019 FSC-klagomål.docx", "A 29192-2019")</f>
        <v/>
      </c>
      <c r="W47">
        <f>HYPERLINK("https://klasma.github.io/Logging_0760/klagomålsmail/A 29192-2019 FSC-klagomål mail.docx", "A 29192-2019")</f>
        <v/>
      </c>
      <c r="X47">
        <f>HYPERLINK("https://klasma.github.io/Logging_0760/tillsyn/A 29192-2019 tillsynsbegäran.docx", "A 29192-2019")</f>
        <v/>
      </c>
      <c r="Y47">
        <f>HYPERLINK("https://klasma.github.io/Logging_0760/tillsynsmail/A 29192-2019 tillsynsbegäran mail.docx", "A 29192-2019")</f>
        <v/>
      </c>
    </row>
    <row r="48" ht="15" customHeight="1">
      <c r="A48" t="inlineStr">
        <is>
          <t>A 38428-2019</t>
        </is>
      </c>
      <c r="B48" s="1" t="n">
        <v>43685</v>
      </c>
      <c r="C48" s="1" t="n">
        <v>45662</v>
      </c>
      <c r="D48" t="inlineStr">
        <is>
          <t>KRONOBERGS LÄN</t>
        </is>
      </c>
      <c r="E48" t="inlineStr">
        <is>
          <t>UPPVIDINGE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Grynig filtlav</t>
        </is>
      </c>
      <c r="S48">
        <f>HYPERLINK("https://klasma.github.io/Logging_0760/artfynd/A 38428-2019 artfynd.xlsx", "A 38428-2019")</f>
        <v/>
      </c>
      <c r="T48">
        <f>HYPERLINK("https://klasma.github.io/Logging_0760/kartor/A 38428-2019 karta.png", "A 38428-2019")</f>
        <v/>
      </c>
      <c r="V48">
        <f>HYPERLINK("https://klasma.github.io/Logging_0760/klagomål/A 38428-2019 FSC-klagomål.docx", "A 38428-2019")</f>
        <v/>
      </c>
      <c r="W48">
        <f>HYPERLINK("https://klasma.github.io/Logging_0760/klagomålsmail/A 38428-2019 FSC-klagomål mail.docx", "A 38428-2019")</f>
        <v/>
      </c>
      <c r="X48">
        <f>HYPERLINK("https://klasma.github.io/Logging_0760/tillsyn/A 38428-2019 tillsynsbegäran.docx", "A 38428-2019")</f>
        <v/>
      </c>
      <c r="Y48">
        <f>HYPERLINK("https://klasma.github.io/Logging_0760/tillsynsmail/A 38428-2019 tillsynsbegäran mail.docx", "A 38428-2019")</f>
        <v/>
      </c>
    </row>
    <row r="49" ht="15" customHeight="1">
      <c r="A49" t="inlineStr">
        <is>
          <t>A 40952-2019</t>
        </is>
      </c>
      <c r="B49" s="1" t="n">
        <v>43696</v>
      </c>
      <c r="C49" s="1" t="n">
        <v>45662</v>
      </c>
      <c r="D49" t="inlineStr">
        <is>
          <t>KRONOBERGS LÄN</t>
        </is>
      </c>
      <c r="E49" t="inlineStr">
        <is>
          <t>UPPVIDINGE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40952-2019 artfynd.xlsx", "A 40952-2019")</f>
        <v/>
      </c>
      <c r="T49">
        <f>HYPERLINK("https://klasma.github.io/Logging_0760/kartor/A 40952-2019 karta.png", "A 40952-2019")</f>
        <v/>
      </c>
      <c r="V49">
        <f>HYPERLINK("https://klasma.github.io/Logging_0760/klagomål/A 40952-2019 FSC-klagomål.docx", "A 40952-2019")</f>
        <v/>
      </c>
      <c r="W49">
        <f>HYPERLINK("https://klasma.github.io/Logging_0760/klagomålsmail/A 40952-2019 FSC-klagomål mail.docx", "A 40952-2019")</f>
        <v/>
      </c>
      <c r="X49">
        <f>HYPERLINK("https://klasma.github.io/Logging_0760/tillsyn/A 40952-2019 tillsynsbegäran.docx", "A 40952-2019")</f>
        <v/>
      </c>
      <c r="Y49">
        <f>HYPERLINK("https://klasma.github.io/Logging_0760/tillsynsmail/A 40952-2019 tillsynsbegäran mail.docx", "A 40952-2019")</f>
        <v/>
      </c>
    </row>
    <row r="50" ht="15" customHeight="1">
      <c r="A50" t="inlineStr">
        <is>
          <t>A 63168-2019</t>
        </is>
      </c>
      <c r="B50" s="1" t="n">
        <v>43791</v>
      </c>
      <c r="C50" s="1" t="n">
        <v>45662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63168-2019 artfynd.xlsx", "A 63168-2019")</f>
        <v/>
      </c>
      <c r="T50">
        <f>HYPERLINK("https://klasma.github.io/Logging_0760/kartor/A 63168-2019 karta.png", "A 63168-2019")</f>
        <v/>
      </c>
      <c r="U50">
        <f>HYPERLINK("https://klasma.github.io/Logging_0760/knärot/A 63168-2019 karta knärot.png", "A 63168-2019")</f>
        <v/>
      </c>
      <c r="V50">
        <f>HYPERLINK("https://klasma.github.io/Logging_0760/klagomål/A 63168-2019 FSC-klagomål.docx", "A 63168-2019")</f>
        <v/>
      </c>
      <c r="W50">
        <f>HYPERLINK("https://klasma.github.io/Logging_0760/klagomålsmail/A 63168-2019 FSC-klagomål mail.docx", "A 63168-2019")</f>
        <v/>
      </c>
      <c r="X50">
        <f>HYPERLINK("https://klasma.github.io/Logging_0760/tillsyn/A 63168-2019 tillsynsbegäran.docx", "A 63168-2019")</f>
        <v/>
      </c>
      <c r="Y50">
        <f>HYPERLINK("https://klasma.github.io/Logging_0760/tillsynsmail/A 63168-2019 tillsynsbegäran mail.docx", "A 63168-2019")</f>
        <v/>
      </c>
    </row>
    <row r="51" ht="15" customHeight="1">
      <c r="A51" t="inlineStr">
        <is>
          <t>A 63735-2019</t>
        </is>
      </c>
      <c r="B51" s="1" t="n">
        <v>43795</v>
      </c>
      <c r="C51" s="1" t="n">
        <v>45662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HYPERLINK("https://klasma.github.io/Logging_0760/artfynd/A 63735-2019 artfynd.xlsx", "A 63735-2019")</f>
        <v/>
      </c>
      <c r="T51">
        <f>HYPERLINK("https://klasma.github.io/Logging_0760/kartor/A 63735-2019 karta.png", "A 63735-2019")</f>
        <v/>
      </c>
      <c r="V51">
        <f>HYPERLINK("https://klasma.github.io/Logging_0760/klagomål/A 63735-2019 FSC-klagomål.docx", "A 63735-2019")</f>
        <v/>
      </c>
      <c r="W51">
        <f>HYPERLINK("https://klasma.github.io/Logging_0760/klagomålsmail/A 63735-2019 FSC-klagomål mail.docx", "A 63735-2019")</f>
        <v/>
      </c>
      <c r="X51">
        <f>HYPERLINK("https://klasma.github.io/Logging_0760/tillsyn/A 63735-2019 tillsynsbegäran.docx", "A 63735-2019")</f>
        <v/>
      </c>
      <c r="Y51">
        <f>HYPERLINK("https://klasma.github.io/Logging_0760/tillsynsmail/A 63735-2019 tillsynsbegäran mail.docx", "A 63735-2019")</f>
        <v/>
      </c>
    </row>
    <row r="52" ht="15" customHeight="1">
      <c r="A52" t="inlineStr">
        <is>
          <t>A 4757-2020</t>
        </is>
      </c>
      <c r="B52" s="1" t="n">
        <v>43850</v>
      </c>
      <c r="C52" s="1" t="n">
        <v>45662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Granbräken</t>
        </is>
      </c>
      <c r="S52">
        <f>HYPERLINK("https://klasma.github.io/Logging_0760/artfynd/A 4757-2020 artfynd.xlsx", "A 4757-2020")</f>
        <v/>
      </c>
      <c r="T52">
        <f>HYPERLINK("https://klasma.github.io/Logging_0760/kartor/A 4757-2020 karta.png", "A 4757-2020")</f>
        <v/>
      </c>
      <c r="V52">
        <f>HYPERLINK("https://klasma.github.io/Logging_0760/klagomål/A 4757-2020 FSC-klagomål.docx", "A 4757-2020")</f>
        <v/>
      </c>
      <c r="W52">
        <f>HYPERLINK("https://klasma.github.io/Logging_0760/klagomålsmail/A 4757-2020 FSC-klagomål mail.docx", "A 4757-2020")</f>
        <v/>
      </c>
      <c r="X52">
        <f>HYPERLINK("https://klasma.github.io/Logging_0760/tillsyn/A 4757-2020 tillsynsbegäran.docx", "A 4757-2020")</f>
        <v/>
      </c>
      <c r="Y52">
        <f>HYPERLINK("https://klasma.github.io/Logging_0760/tillsynsmail/A 4757-2020 tillsynsbegäran mail.docx", "A 4757-2020")</f>
        <v/>
      </c>
    </row>
    <row r="53" ht="15" customHeight="1">
      <c r="A53" t="inlineStr">
        <is>
          <t>A 5701-2020</t>
        </is>
      </c>
      <c r="B53" s="1" t="n">
        <v>43861</v>
      </c>
      <c r="C53" s="1" t="n">
        <v>45662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5701-2020 artfynd.xlsx", "A 5701-2020")</f>
        <v/>
      </c>
      <c r="T53">
        <f>HYPERLINK("https://klasma.github.io/Logging_0760/kartor/A 5701-2020 karta.png", "A 5701-2020")</f>
        <v/>
      </c>
      <c r="U53">
        <f>HYPERLINK("https://klasma.github.io/Logging_0760/knärot/A 5701-2020 karta knärot.png", "A 5701-2020")</f>
        <v/>
      </c>
      <c r="V53">
        <f>HYPERLINK("https://klasma.github.io/Logging_0760/klagomål/A 5701-2020 FSC-klagomål.docx", "A 5701-2020")</f>
        <v/>
      </c>
      <c r="W53">
        <f>HYPERLINK("https://klasma.github.io/Logging_0760/klagomålsmail/A 5701-2020 FSC-klagomål mail.docx", "A 5701-2020")</f>
        <v/>
      </c>
      <c r="X53">
        <f>HYPERLINK("https://klasma.github.io/Logging_0760/tillsyn/A 5701-2020 tillsynsbegäran.docx", "A 5701-2020")</f>
        <v/>
      </c>
      <c r="Y53">
        <f>HYPERLINK("https://klasma.github.io/Logging_0760/tillsynsmail/A 5701-2020 tillsynsbegäran mail.docx", "A 5701-2020")</f>
        <v/>
      </c>
    </row>
    <row r="54" ht="15" customHeight="1">
      <c r="A54" t="inlineStr">
        <is>
          <t>A 33646-2020</t>
        </is>
      </c>
      <c r="B54" s="1" t="n">
        <v>44022</v>
      </c>
      <c r="C54" s="1" t="n">
        <v>45662</v>
      </c>
      <c r="D54" t="inlineStr">
        <is>
          <t>KRONOBERGS LÄN</t>
        </is>
      </c>
      <c r="E54" t="inlineStr">
        <is>
          <t>UPPVIDINGE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33646-2020 artfynd.xlsx", "A 33646-2020")</f>
        <v/>
      </c>
      <c r="T54">
        <f>HYPERLINK("https://klasma.github.io/Logging_0760/kartor/A 33646-2020 karta.png", "A 33646-2020")</f>
        <v/>
      </c>
      <c r="V54">
        <f>HYPERLINK("https://klasma.github.io/Logging_0760/klagomål/A 33646-2020 FSC-klagomål.docx", "A 33646-2020")</f>
        <v/>
      </c>
      <c r="W54">
        <f>HYPERLINK("https://klasma.github.io/Logging_0760/klagomålsmail/A 33646-2020 FSC-klagomål mail.docx", "A 33646-2020")</f>
        <v/>
      </c>
      <c r="X54">
        <f>HYPERLINK("https://klasma.github.io/Logging_0760/tillsyn/A 33646-2020 tillsynsbegäran.docx", "A 33646-2020")</f>
        <v/>
      </c>
      <c r="Y54">
        <f>HYPERLINK("https://klasma.github.io/Logging_0760/tillsynsmail/A 33646-2020 tillsynsbegäran mail.docx", "A 33646-2020")</f>
        <v/>
      </c>
    </row>
    <row r="55" ht="15" customHeight="1">
      <c r="A55" t="inlineStr">
        <is>
          <t>A 34610-2020</t>
        </is>
      </c>
      <c r="B55" s="1" t="n">
        <v>44034</v>
      </c>
      <c r="C55" s="1" t="n">
        <v>45662</v>
      </c>
      <c r="D55" t="inlineStr">
        <is>
          <t>KRONOBERGS LÄN</t>
        </is>
      </c>
      <c r="E55" t="inlineStr">
        <is>
          <t>UPPVIDINGE</t>
        </is>
      </c>
      <c r="G55" t="n">
        <v>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HYPERLINK("https://klasma.github.io/Logging_0760/artfynd/A 34610-2020 artfynd.xlsx", "A 34610-2020")</f>
        <v/>
      </c>
      <c r="T55">
        <f>HYPERLINK("https://klasma.github.io/Logging_0760/kartor/A 34610-2020 karta.png", "A 34610-2020")</f>
        <v/>
      </c>
      <c r="V55">
        <f>HYPERLINK("https://klasma.github.io/Logging_0760/klagomål/A 34610-2020 FSC-klagomål.docx", "A 34610-2020")</f>
        <v/>
      </c>
      <c r="W55">
        <f>HYPERLINK("https://klasma.github.io/Logging_0760/klagomålsmail/A 34610-2020 FSC-klagomål mail.docx", "A 34610-2020")</f>
        <v/>
      </c>
      <c r="X55">
        <f>HYPERLINK("https://klasma.github.io/Logging_0760/tillsyn/A 34610-2020 tillsynsbegäran.docx", "A 34610-2020")</f>
        <v/>
      </c>
      <c r="Y55">
        <f>HYPERLINK("https://klasma.github.io/Logging_0760/tillsynsmail/A 34610-2020 tillsynsbegäran mail.docx", "A 34610-2020")</f>
        <v/>
      </c>
    </row>
    <row r="56" ht="15" customHeight="1">
      <c r="A56" t="inlineStr">
        <is>
          <t>A 37018-2020</t>
        </is>
      </c>
      <c r="B56" s="1" t="n">
        <v>44054</v>
      </c>
      <c r="C56" s="1" t="n">
        <v>45662</v>
      </c>
      <c r="D56" t="inlineStr">
        <is>
          <t>KRONOBERGS LÄN</t>
        </is>
      </c>
      <c r="E56" t="inlineStr">
        <is>
          <t>UPPVIDINGE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HYPERLINK("https://klasma.github.io/Logging_0760/artfynd/A 37018-2020 artfynd.xlsx", "A 37018-2020")</f>
        <v/>
      </c>
      <c r="T56">
        <f>HYPERLINK("https://klasma.github.io/Logging_0760/kartor/A 37018-2020 karta.png", "A 37018-2020")</f>
        <v/>
      </c>
      <c r="V56">
        <f>HYPERLINK("https://klasma.github.io/Logging_0760/klagomål/A 37018-2020 FSC-klagomål.docx", "A 37018-2020")</f>
        <v/>
      </c>
      <c r="W56">
        <f>HYPERLINK("https://klasma.github.io/Logging_0760/klagomålsmail/A 37018-2020 FSC-klagomål mail.docx", "A 37018-2020")</f>
        <v/>
      </c>
      <c r="X56">
        <f>HYPERLINK("https://klasma.github.io/Logging_0760/tillsyn/A 37018-2020 tillsynsbegäran.docx", "A 37018-2020")</f>
        <v/>
      </c>
      <c r="Y56">
        <f>HYPERLINK("https://klasma.github.io/Logging_0760/tillsynsmail/A 37018-2020 tillsynsbegäran mail.docx", "A 37018-2020")</f>
        <v/>
      </c>
    </row>
    <row r="57" ht="15" customHeight="1">
      <c r="A57" t="inlineStr">
        <is>
          <t>A 41394-2020</t>
        </is>
      </c>
      <c r="B57" s="1" t="n">
        <v>44073</v>
      </c>
      <c r="C57" s="1" t="n">
        <v>45662</v>
      </c>
      <c r="D57" t="inlineStr">
        <is>
          <t>KRONOBERGS LÄN</t>
        </is>
      </c>
      <c r="E57" t="inlineStr">
        <is>
          <t>UPPVIDINGE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41394-2020 artfynd.xlsx", "A 41394-2020")</f>
        <v/>
      </c>
      <c r="T57">
        <f>HYPERLINK("https://klasma.github.io/Logging_0760/kartor/A 41394-2020 karta.png", "A 41394-2020")</f>
        <v/>
      </c>
      <c r="V57">
        <f>HYPERLINK("https://klasma.github.io/Logging_0760/klagomål/A 41394-2020 FSC-klagomål.docx", "A 41394-2020")</f>
        <v/>
      </c>
      <c r="W57">
        <f>HYPERLINK("https://klasma.github.io/Logging_0760/klagomålsmail/A 41394-2020 FSC-klagomål mail.docx", "A 41394-2020")</f>
        <v/>
      </c>
      <c r="X57">
        <f>HYPERLINK("https://klasma.github.io/Logging_0760/tillsyn/A 41394-2020 tillsynsbegäran.docx", "A 41394-2020")</f>
        <v/>
      </c>
      <c r="Y57">
        <f>HYPERLINK("https://klasma.github.io/Logging_0760/tillsynsmail/A 41394-2020 tillsynsbegäran mail.docx", "A 41394-2020")</f>
        <v/>
      </c>
    </row>
    <row r="58" ht="15" customHeight="1">
      <c r="A58" t="inlineStr">
        <is>
          <t>A 45420-2020</t>
        </is>
      </c>
      <c r="B58" s="1" t="n">
        <v>44089</v>
      </c>
      <c r="C58" s="1" t="n">
        <v>45662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Ljungögontröst</t>
        </is>
      </c>
      <c r="S58">
        <f>HYPERLINK("https://klasma.github.io/Logging_0760/artfynd/A 45420-2020 artfynd.xlsx", "A 45420-2020")</f>
        <v/>
      </c>
      <c r="T58">
        <f>HYPERLINK("https://klasma.github.io/Logging_0760/kartor/A 45420-2020 karta.png", "A 45420-2020")</f>
        <v/>
      </c>
      <c r="V58">
        <f>HYPERLINK("https://klasma.github.io/Logging_0760/klagomål/A 45420-2020 FSC-klagomål.docx", "A 45420-2020")</f>
        <v/>
      </c>
      <c r="W58">
        <f>HYPERLINK("https://klasma.github.io/Logging_0760/klagomålsmail/A 45420-2020 FSC-klagomål mail.docx", "A 45420-2020")</f>
        <v/>
      </c>
      <c r="X58">
        <f>HYPERLINK("https://klasma.github.io/Logging_0760/tillsyn/A 45420-2020 tillsynsbegäran.docx", "A 45420-2020")</f>
        <v/>
      </c>
      <c r="Y58">
        <f>HYPERLINK("https://klasma.github.io/Logging_0760/tillsynsmail/A 45420-2020 tillsynsbegäran mail.docx", "A 45420-2020")</f>
        <v/>
      </c>
    </row>
    <row r="59" ht="15" customHeight="1">
      <c r="A59" t="inlineStr">
        <is>
          <t>A 45886-2020</t>
        </is>
      </c>
      <c r="B59" s="1" t="n">
        <v>44091</v>
      </c>
      <c r="C59" s="1" t="n">
        <v>45662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Hagfingersvamp</t>
        </is>
      </c>
      <c r="S59">
        <f>HYPERLINK("https://klasma.github.io/Logging_0760/artfynd/A 45886-2020 artfynd.xlsx", "A 45886-2020")</f>
        <v/>
      </c>
      <c r="T59">
        <f>HYPERLINK("https://klasma.github.io/Logging_0760/kartor/A 45886-2020 karta.png", "A 45886-2020")</f>
        <v/>
      </c>
      <c r="V59">
        <f>HYPERLINK("https://klasma.github.io/Logging_0760/klagomål/A 45886-2020 FSC-klagomål.docx", "A 45886-2020")</f>
        <v/>
      </c>
      <c r="W59">
        <f>HYPERLINK("https://klasma.github.io/Logging_0760/klagomålsmail/A 45886-2020 FSC-klagomål mail.docx", "A 45886-2020")</f>
        <v/>
      </c>
      <c r="X59">
        <f>HYPERLINK("https://klasma.github.io/Logging_0760/tillsyn/A 45886-2020 tillsynsbegäran.docx", "A 45886-2020")</f>
        <v/>
      </c>
      <c r="Y59">
        <f>HYPERLINK("https://klasma.github.io/Logging_0760/tillsynsmail/A 45886-2020 tillsynsbegäran mail.docx", "A 45886-2020")</f>
        <v/>
      </c>
    </row>
    <row r="60" ht="15" customHeight="1">
      <c r="A60" t="inlineStr">
        <is>
          <t>A 52984-2020</t>
        </is>
      </c>
      <c r="B60" s="1" t="n">
        <v>44119</v>
      </c>
      <c r="C60" s="1" t="n">
        <v>45662</v>
      </c>
      <c r="D60" t="inlineStr">
        <is>
          <t>KRONOBERGS LÄN</t>
        </is>
      </c>
      <c r="E60" t="inlineStr">
        <is>
          <t>UPPVIDINGE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52984-2020 artfynd.xlsx", "A 52984-2020")</f>
        <v/>
      </c>
      <c r="T60">
        <f>HYPERLINK("https://klasma.github.io/Logging_0760/kartor/A 52984-2020 karta.png", "A 52984-2020")</f>
        <v/>
      </c>
      <c r="U60">
        <f>HYPERLINK("https://klasma.github.io/Logging_0760/knärot/A 52984-2020 karta knärot.png", "A 52984-2020")</f>
        <v/>
      </c>
      <c r="V60">
        <f>HYPERLINK("https://klasma.github.io/Logging_0760/klagomål/A 52984-2020 FSC-klagomål.docx", "A 52984-2020")</f>
        <v/>
      </c>
      <c r="W60">
        <f>HYPERLINK("https://klasma.github.io/Logging_0760/klagomålsmail/A 52984-2020 FSC-klagomål mail.docx", "A 52984-2020")</f>
        <v/>
      </c>
      <c r="X60">
        <f>HYPERLINK("https://klasma.github.io/Logging_0760/tillsyn/A 52984-2020 tillsynsbegäran.docx", "A 52984-2020")</f>
        <v/>
      </c>
      <c r="Y60">
        <f>HYPERLINK("https://klasma.github.io/Logging_0760/tillsynsmail/A 52984-2020 tillsynsbegäran mail.docx", "A 52984-2020")</f>
        <v/>
      </c>
    </row>
    <row r="61" ht="15" customHeight="1">
      <c r="A61" t="inlineStr">
        <is>
          <t>A 55805-2020</t>
        </is>
      </c>
      <c r="B61" s="1" t="n">
        <v>44132</v>
      </c>
      <c r="C61" s="1" t="n">
        <v>45662</v>
      </c>
      <c r="D61" t="inlineStr">
        <is>
          <t>KRONOBERGS LÄN</t>
        </is>
      </c>
      <c r="E61" t="inlineStr">
        <is>
          <t>UPPVIDINGE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55805-2020 artfynd.xlsx", "A 55805-2020")</f>
        <v/>
      </c>
      <c r="T61">
        <f>HYPERLINK("https://klasma.github.io/Logging_0760/kartor/A 55805-2020 karta.png", "A 55805-2020")</f>
        <v/>
      </c>
      <c r="U61">
        <f>HYPERLINK("https://klasma.github.io/Logging_0760/knärot/A 55805-2020 karta knärot.png", "A 55805-2020")</f>
        <v/>
      </c>
      <c r="V61">
        <f>HYPERLINK("https://klasma.github.io/Logging_0760/klagomål/A 55805-2020 FSC-klagomål.docx", "A 55805-2020")</f>
        <v/>
      </c>
      <c r="W61">
        <f>HYPERLINK("https://klasma.github.io/Logging_0760/klagomålsmail/A 55805-2020 FSC-klagomål mail.docx", "A 55805-2020")</f>
        <v/>
      </c>
      <c r="X61">
        <f>HYPERLINK("https://klasma.github.io/Logging_0760/tillsyn/A 55805-2020 tillsynsbegäran.docx", "A 55805-2020")</f>
        <v/>
      </c>
      <c r="Y61">
        <f>HYPERLINK("https://klasma.github.io/Logging_0760/tillsynsmail/A 55805-2020 tillsynsbegäran mail.docx", "A 55805-2020")</f>
        <v/>
      </c>
    </row>
    <row r="62" ht="15" customHeight="1">
      <c r="A62" t="inlineStr">
        <is>
          <t>A 63385-2020</t>
        </is>
      </c>
      <c r="B62" s="1" t="n">
        <v>44160</v>
      </c>
      <c r="C62" s="1" t="n">
        <v>45662</v>
      </c>
      <c r="D62" t="inlineStr">
        <is>
          <t>KRONOBERGS LÄN</t>
        </is>
      </c>
      <c r="E62" t="inlineStr">
        <is>
          <t>UPPVIDINGE</t>
        </is>
      </c>
      <c r="G62" t="n">
        <v>0.8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Blodvaxskivling</t>
        </is>
      </c>
      <c r="S62">
        <f>HYPERLINK("https://klasma.github.io/Logging_0760/artfynd/A 63385-2020 artfynd.xlsx", "A 63385-2020")</f>
        <v/>
      </c>
      <c r="T62">
        <f>HYPERLINK("https://klasma.github.io/Logging_0760/kartor/A 63385-2020 karta.png", "A 63385-2020")</f>
        <v/>
      </c>
      <c r="V62">
        <f>HYPERLINK("https://klasma.github.io/Logging_0760/klagomål/A 63385-2020 FSC-klagomål.docx", "A 63385-2020")</f>
        <v/>
      </c>
      <c r="W62">
        <f>HYPERLINK("https://klasma.github.io/Logging_0760/klagomålsmail/A 63385-2020 FSC-klagomål mail.docx", "A 63385-2020")</f>
        <v/>
      </c>
      <c r="X62">
        <f>HYPERLINK("https://klasma.github.io/Logging_0760/tillsyn/A 63385-2020 tillsynsbegäran.docx", "A 63385-2020")</f>
        <v/>
      </c>
      <c r="Y62">
        <f>HYPERLINK("https://klasma.github.io/Logging_0760/tillsynsmail/A 63385-2020 tillsynsbegäran mail.docx", "A 63385-2020")</f>
        <v/>
      </c>
    </row>
    <row r="63" ht="15" customHeight="1">
      <c r="A63" t="inlineStr">
        <is>
          <t>A 927-2021</t>
        </is>
      </c>
      <c r="B63" s="1" t="n">
        <v>44207</v>
      </c>
      <c r="C63" s="1" t="n">
        <v>45662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HYPERLINK("https://klasma.github.io/Logging_0760/artfynd/A 927-2021 artfynd.xlsx", "A 927-2021")</f>
        <v/>
      </c>
      <c r="T63">
        <f>HYPERLINK("https://klasma.github.io/Logging_0760/kartor/A 927-2021 karta.png", "A 927-2021")</f>
        <v/>
      </c>
      <c r="V63">
        <f>HYPERLINK("https://klasma.github.io/Logging_0760/klagomål/A 927-2021 FSC-klagomål.docx", "A 927-2021")</f>
        <v/>
      </c>
      <c r="W63">
        <f>HYPERLINK("https://klasma.github.io/Logging_0760/klagomålsmail/A 927-2021 FSC-klagomål mail.docx", "A 927-2021")</f>
        <v/>
      </c>
      <c r="X63">
        <f>HYPERLINK("https://klasma.github.io/Logging_0760/tillsyn/A 927-2021 tillsynsbegäran.docx", "A 927-2021")</f>
        <v/>
      </c>
      <c r="Y63">
        <f>HYPERLINK("https://klasma.github.io/Logging_0760/tillsynsmail/A 927-2021 tillsynsbegäran mail.docx", "A 927-2021")</f>
        <v/>
      </c>
    </row>
    <row r="64" ht="15" customHeight="1">
      <c r="A64" t="inlineStr">
        <is>
          <t>A 4737-2021</t>
        </is>
      </c>
      <c r="B64" s="1" t="n">
        <v>44225</v>
      </c>
      <c r="C64" s="1" t="n">
        <v>45662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HYPERLINK("https://klasma.github.io/Logging_0760/artfynd/A 4737-2021 artfynd.xlsx", "A 4737-2021")</f>
        <v/>
      </c>
      <c r="T64">
        <f>HYPERLINK("https://klasma.github.io/Logging_0760/kartor/A 4737-2021 karta.png", "A 4737-2021")</f>
        <v/>
      </c>
      <c r="V64">
        <f>HYPERLINK("https://klasma.github.io/Logging_0760/klagomål/A 4737-2021 FSC-klagomål.docx", "A 4737-2021")</f>
        <v/>
      </c>
      <c r="W64">
        <f>HYPERLINK("https://klasma.github.io/Logging_0760/klagomålsmail/A 4737-2021 FSC-klagomål mail.docx", "A 4737-2021")</f>
        <v/>
      </c>
      <c r="X64">
        <f>HYPERLINK("https://klasma.github.io/Logging_0760/tillsyn/A 4737-2021 tillsynsbegäran.docx", "A 4737-2021")</f>
        <v/>
      </c>
      <c r="Y64">
        <f>HYPERLINK("https://klasma.github.io/Logging_0760/tillsynsmail/A 4737-2021 tillsynsbegäran mail.docx", "A 4737-2021")</f>
        <v/>
      </c>
    </row>
    <row r="65" ht="15" customHeight="1">
      <c r="A65" t="inlineStr">
        <is>
          <t>A 16871-2021</t>
        </is>
      </c>
      <c r="B65" s="1" t="n">
        <v>44295</v>
      </c>
      <c r="C65" s="1" t="n">
        <v>45662</v>
      </c>
      <c r="D65" t="inlineStr">
        <is>
          <t>KRONOBERGS LÄN</t>
        </is>
      </c>
      <c r="E65" t="inlineStr">
        <is>
          <t>UPPVIDINGE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HYPERLINK("https://klasma.github.io/Logging_0760/artfynd/A 16871-2021 artfynd.xlsx", "A 16871-2021")</f>
        <v/>
      </c>
      <c r="T65">
        <f>HYPERLINK("https://klasma.github.io/Logging_0760/kartor/A 16871-2021 karta.png", "A 16871-2021")</f>
        <v/>
      </c>
      <c r="V65">
        <f>HYPERLINK("https://klasma.github.io/Logging_0760/klagomål/A 16871-2021 FSC-klagomål.docx", "A 16871-2021")</f>
        <v/>
      </c>
      <c r="W65">
        <f>HYPERLINK("https://klasma.github.io/Logging_0760/klagomålsmail/A 16871-2021 FSC-klagomål mail.docx", "A 16871-2021")</f>
        <v/>
      </c>
      <c r="X65">
        <f>HYPERLINK("https://klasma.github.io/Logging_0760/tillsyn/A 16871-2021 tillsynsbegäran.docx", "A 16871-2021")</f>
        <v/>
      </c>
      <c r="Y65">
        <f>HYPERLINK("https://klasma.github.io/Logging_0760/tillsynsmail/A 16871-2021 tillsynsbegäran mail.docx", "A 16871-2021")</f>
        <v/>
      </c>
    </row>
    <row r="66" ht="15" customHeight="1">
      <c r="A66" t="inlineStr">
        <is>
          <t>A 32873-2021</t>
        </is>
      </c>
      <c r="B66" s="1" t="n">
        <v>44375</v>
      </c>
      <c r="C66" s="1" t="n">
        <v>45662</v>
      </c>
      <c r="D66" t="inlineStr">
        <is>
          <t>KRONOBERGS LÄN</t>
        </is>
      </c>
      <c r="E66" t="inlineStr">
        <is>
          <t>UPPVIDINGE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32873-2021 artfynd.xlsx", "A 32873-2021")</f>
        <v/>
      </c>
      <c r="T66">
        <f>HYPERLINK("https://klasma.github.io/Logging_0760/kartor/A 32873-2021 karta.png", "A 32873-2021")</f>
        <v/>
      </c>
      <c r="V66">
        <f>HYPERLINK("https://klasma.github.io/Logging_0760/klagomål/A 32873-2021 FSC-klagomål.docx", "A 32873-2021")</f>
        <v/>
      </c>
      <c r="W66">
        <f>HYPERLINK("https://klasma.github.io/Logging_0760/klagomålsmail/A 32873-2021 FSC-klagomål mail.docx", "A 32873-2021")</f>
        <v/>
      </c>
      <c r="X66">
        <f>HYPERLINK("https://klasma.github.io/Logging_0760/tillsyn/A 32873-2021 tillsynsbegäran.docx", "A 32873-2021")</f>
        <v/>
      </c>
      <c r="Y66">
        <f>HYPERLINK("https://klasma.github.io/Logging_0760/tillsynsmail/A 32873-2021 tillsynsbegäran mail.docx", "A 32873-2021")</f>
        <v/>
      </c>
    </row>
    <row r="67" ht="15" customHeight="1">
      <c r="A67" t="inlineStr">
        <is>
          <t>A 35200-2021</t>
        </is>
      </c>
      <c r="B67" s="1" t="n">
        <v>44384</v>
      </c>
      <c r="C67" s="1" t="n">
        <v>45662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HYPERLINK("https://klasma.github.io/Logging_0760/artfynd/A 35200-2021 artfynd.xlsx", "A 35200-2021")</f>
        <v/>
      </c>
      <c r="T67">
        <f>HYPERLINK("https://klasma.github.io/Logging_0760/kartor/A 35200-2021 karta.png", "A 35200-2021")</f>
        <v/>
      </c>
      <c r="V67">
        <f>HYPERLINK("https://klasma.github.io/Logging_0760/klagomål/A 35200-2021 FSC-klagomål.docx", "A 35200-2021")</f>
        <v/>
      </c>
      <c r="W67">
        <f>HYPERLINK("https://klasma.github.io/Logging_0760/klagomålsmail/A 35200-2021 FSC-klagomål mail.docx", "A 35200-2021")</f>
        <v/>
      </c>
      <c r="X67">
        <f>HYPERLINK("https://klasma.github.io/Logging_0760/tillsyn/A 35200-2021 tillsynsbegäran.docx", "A 35200-2021")</f>
        <v/>
      </c>
      <c r="Y67">
        <f>HYPERLINK("https://klasma.github.io/Logging_0760/tillsynsmail/A 35200-2021 tillsynsbegäran mail.docx", "A 35200-2021")</f>
        <v/>
      </c>
    </row>
    <row r="68" ht="15" customHeight="1">
      <c r="A68" t="inlineStr">
        <is>
          <t>A 73118-2021</t>
        </is>
      </c>
      <c r="B68" s="1" t="n">
        <v>44550</v>
      </c>
      <c r="C68" s="1" t="n">
        <v>45662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HYPERLINK("https://klasma.github.io/Logging_0760/artfynd/A 73118-2021 artfynd.xlsx", "A 73118-2021")</f>
        <v/>
      </c>
      <c r="T68">
        <f>HYPERLINK("https://klasma.github.io/Logging_0760/kartor/A 73118-2021 karta.png", "A 73118-2021")</f>
        <v/>
      </c>
      <c r="V68">
        <f>HYPERLINK("https://klasma.github.io/Logging_0760/klagomål/A 73118-2021 FSC-klagomål.docx", "A 73118-2021")</f>
        <v/>
      </c>
      <c r="W68">
        <f>HYPERLINK("https://klasma.github.io/Logging_0760/klagomålsmail/A 73118-2021 FSC-klagomål mail.docx", "A 73118-2021")</f>
        <v/>
      </c>
      <c r="X68">
        <f>HYPERLINK("https://klasma.github.io/Logging_0760/tillsyn/A 73118-2021 tillsynsbegäran.docx", "A 73118-2021")</f>
        <v/>
      </c>
      <c r="Y68">
        <f>HYPERLINK("https://klasma.github.io/Logging_0760/tillsynsmail/A 73118-2021 tillsynsbegäran mail.docx", "A 73118-2021")</f>
        <v/>
      </c>
    </row>
    <row r="69" ht="15" customHeight="1">
      <c r="A69" t="inlineStr">
        <is>
          <t>A 15676-2022</t>
        </is>
      </c>
      <c r="B69" s="1" t="n">
        <v>44663</v>
      </c>
      <c r="C69" s="1" t="n">
        <v>45662</v>
      </c>
      <c r="D69" t="inlineStr">
        <is>
          <t>KRONOBERGS LÄN</t>
        </is>
      </c>
      <c r="E69" t="inlineStr">
        <is>
          <t>UPPVIDINGE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HYPERLINK("https://klasma.github.io/Logging_0760/artfynd/A 15676-2022 artfynd.xlsx", "A 15676-2022")</f>
        <v/>
      </c>
      <c r="T69">
        <f>HYPERLINK("https://klasma.github.io/Logging_0760/kartor/A 15676-2022 karta.png", "A 15676-2022")</f>
        <v/>
      </c>
      <c r="U69">
        <f>HYPERLINK("https://klasma.github.io/Logging_0760/knärot/A 15676-2022 karta knärot.png", "A 15676-2022")</f>
        <v/>
      </c>
      <c r="V69">
        <f>HYPERLINK("https://klasma.github.io/Logging_0760/klagomål/A 15676-2022 FSC-klagomål.docx", "A 15676-2022")</f>
        <v/>
      </c>
      <c r="W69">
        <f>HYPERLINK("https://klasma.github.io/Logging_0760/klagomålsmail/A 15676-2022 FSC-klagomål mail.docx", "A 15676-2022")</f>
        <v/>
      </c>
      <c r="X69">
        <f>HYPERLINK("https://klasma.github.io/Logging_0760/tillsyn/A 15676-2022 tillsynsbegäran.docx", "A 15676-2022")</f>
        <v/>
      </c>
      <c r="Y69">
        <f>HYPERLINK("https://klasma.github.io/Logging_0760/tillsynsmail/A 15676-2022 tillsynsbegäran mail.docx", "A 15676-2022")</f>
        <v/>
      </c>
    </row>
    <row r="70" ht="15" customHeight="1">
      <c r="A70" t="inlineStr">
        <is>
          <t>A 16882-2022</t>
        </is>
      </c>
      <c r="B70" s="1" t="n">
        <v>44676</v>
      </c>
      <c r="C70" s="1" t="n">
        <v>45662</v>
      </c>
      <c r="D70" t="inlineStr">
        <is>
          <t>KRONOBERGS LÄN</t>
        </is>
      </c>
      <c r="E70" t="inlineStr">
        <is>
          <t>UPPVIDINGE</t>
        </is>
      </c>
      <c r="G70" t="n">
        <v>13.5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HYPERLINK("https://klasma.github.io/Logging_0760/artfynd/A 16882-2022 artfynd.xlsx", "A 16882-2022")</f>
        <v/>
      </c>
      <c r="T70">
        <f>HYPERLINK("https://klasma.github.io/Logging_0760/kartor/A 16882-2022 karta.png", "A 16882-2022")</f>
        <v/>
      </c>
      <c r="V70">
        <f>HYPERLINK("https://klasma.github.io/Logging_0760/klagomål/A 16882-2022 FSC-klagomål.docx", "A 16882-2022")</f>
        <v/>
      </c>
      <c r="W70">
        <f>HYPERLINK("https://klasma.github.io/Logging_0760/klagomålsmail/A 16882-2022 FSC-klagomål mail.docx", "A 16882-2022")</f>
        <v/>
      </c>
      <c r="X70">
        <f>HYPERLINK("https://klasma.github.io/Logging_0760/tillsyn/A 16882-2022 tillsynsbegäran.docx", "A 16882-2022")</f>
        <v/>
      </c>
      <c r="Y70">
        <f>HYPERLINK("https://klasma.github.io/Logging_0760/tillsynsmail/A 16882-2022 tillsynsbegäran mail.docx", "A 16882-2022")</f>
        <v/>
      </c>
    </row>
    <row r="71" ht="15" customHeight="1">
      <c r="A71" t="inlineStr">
        <is>
          <t>A 41652-2022</t>
        </is>
      </c>
      <c r="B71" s="1" t="n">
        <v>44827</v>
      </c>
      <c r="C71" s="1" t="n">
        <v>45662</v>
      </c>
      <c r="D71" t="inlineStr">
        <is>
          <t>KRONOBERGS LÄN</t>
        </is>
      </c>
      <c r="E71" t="inlineStr">
        <is>
          <t>UPPVIDINGE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Sankt pers nycklar</t>
        </is>
      </c>
      <c r="S71">
        <f>HYPERLINK("https://klasma.github.io/Logging_0760/artfynd/A 41652-2022 artfynd.xlsx", "A 41652-2022")</f>
        <v/>
      </c>
      <c r="T71">
        <f>HYPERLINK("https://klasma.github.io/Logging_0760/kartor/A 41652-2022 karta.png", "A 41652-2022")</f>
        <v/>
      </c>
      <c r="V71">
        <f>HYPERLINK("https://klasma.github.io/Logging_0760/klagomål/A 41652-2022 FSC-klagomål.docx", "A 41652-2022")</f>
        <v/>
      </c>
      <c r="W71">
        <f>HYPERLINK("https://klasma.github.io/Logging_0760/klagomålsmail/A 41652-2022 FSC-klagomål mail.docx", "A 41652-2022")</f>
        <v/>
      </c>
      <c r="X71">
        <f>HYPERLINK("https://klasma.github.io/Logging_0760/tillsyn/A 41652-2022 tillsynsbegäran.docx", "A 41652-2022")</f>
        <v/>
      </c>
      <c r="Y71">
        <f>HYPERLINK("https://klasma.github.io/Logging_0760/tillsynsmail/A 41652-2022 tillsynsbegäran mail.docx", "A 41652-2022")</f>
        <v/>
      </c>
    </row>
    <row r="72" ht="15" customHeight="1">
      <c r="A72" t="inlineStr">
        <is>
          <t>A 49123-2022</t>
        </is>
      </c>
      <c r="B72" s="1" t="n">
        <v>44858</v>
      </c>
      <c r="C72" s="1" t="n">
        <v>45662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HYPERLINK("https://klasma.github.io/Logging_0760/artfynd/A 49123-2022 artfynd.xlsx", "A 49123-2022")</f>
        <v/>
      </c>
      <c r="T72">
        <f>HYPERLINK("https://klasma.github.io/Logging_0760/kartor/A 49123-2022 karta.png", "A 49123-2022")</f>
        <v/>
      </c>
      <c r="V72">
        <f>HYPERLINK("https://klasma.github.io/Logging_0760/klagomål/A 49123-2022 FSC-klagomål.docx", "A 49123-2022")</f>
        <v/>
      </c>
      <c r="W72">
        <f>HYPERLINK("https://klasma.github.io/Logging_0760/klagomålsmail/A 49123-2022 FSC-klagomål mail.docx", "A 49123-2022")</f>
        <v/>
      </c>
      <c r="X72">
        <f>HYPERLINK("https://klasma.github.io/Logging_0760/tillsyn/A 49123-2022 tillsynsbegäran.docx", "A 49123-2022")</f>
        <v/>
      </c>
      <c r="Y72">
        <f>HYPERLINK("https://klasma.github.io/Logging_0760/tillsynsmail/A 49123-2022 tillsynsbegäran mail.docx", "A 49123-2022")</f>
        <v/>
      </c>
    </row>
    <row r="73" ht="15" customHeight="1">
      <c r="A73" t="inlineStr">
        <is>
          <t>A 57999-2022</t>
        </is>
      </c>
      <c r="B73" s="1" t="n">
        <v>44900</v>
      </c>
      <c r="C73" s="1" t="n">
        <v>45662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HYPERLINK("https://klasma.github.io/Logging_0760/artfynd/A 57999-2022 artfynd.xlsx", "A 57999-2022")</f>
        <v/>
      </c>
      <c r="T73">
        <f>HYPERLINK("https://klasma.github.io/Logging_0760/kartor/A 57999-2022 karta.png", "A 57999-2022")</f>
        <v/>
      </c>
      <c r="V73">
        <f>HYPERLINK("https://klasma.github.io/Logging_0760/klagomål/A 57999-2022 FSC-klagomål.docx", "A 57999-2022")</f>
        <v/>
      </c>
      <c r="W73">
        <f>HYPERLINK("https://klasma.github.io/Logging_0760/klagomålsmail/A 57999-2022 FSC-klagomål mail.docx", "A 57999-2022")</f>
        <v/>
      </c>
      <c r="X73">
        <f>HYPERLINK("https://klasma.github.io/Logging_0760/tillsyn/A 57999-2022 tillsynsbegäran.docx", "A 57999-2022")</f>
        <v/>
      </c>
      <c r="Y73">
        <f>HYPERLINK("https://klasma.github.io/Logging_0760/tillsynsmail/A 57999-2022 tillsynsbegäran mail.docx", "A 57999-2022")</f>
        <v/>
      </c>
    </row>
    <row r="74" ht="15" customHeight="1">
      <c r="A74" t="inlineStr">
        <is>
          <t>A 3677-2023</t>
        </is>
      </c>
      <c r="B74" s="1" t="n">
        <v>44950</v>
      </c>
      <c r="C74" s="1" t="n">
        <v>45662</v>
      </c>
      <c r="D74" t="inlineStr">
        <is>
          <t>KRONOBERGS LÄN</t>
        </is>
      </c>
      <c r="E74" t="inlineStr">
        <is>
          <t>UPPVIDINGE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HYPERLINK("https://klasma.github.io/Logging_0760/artfynd/A 3677-2023 artfynd.xlsx", "A 3677-2023")</f>
        <v/>
      </c>
      <c r="T74">
        <f>HYPERLINK("https://klasma.github.io/Logging_0760/kartor/A 3677-2023 karta.png", "A 3677-2023")</f>
        <v/>
      </c>
      <c r="V74">
        <f>HYPERLINK("https://klasma.github.io/Logging_0760/klagomål/A 3677-2023 FSC-klagomål.docx", "A 3677-2023")</f>
        <v/>
      </c>
      <c r="W74">
        <f>HYPERLINK("https://klasma.github.io/Logging_0760/klagomålsmail/A 3677-2023 FSC-klagomål mail.docx", "A 3677-2023")</f>
        <v/>
      </c>
      <c r="X74">
        <f>HYPERLINK("https://klasma.github.io/Logging_0760/tillsyn/A 3677-2023 tillsynsbegäran.docx", "A 3677-2023")</f>
        <v/>
      </c>
      <c r="Y74">
        <f>HYPERLINK("https://klasma.github.io/Logging_0760/tillsynsmail/A 3677-2023 tillsynsbegäran mail.docx", "A 3677-2023")</f>
        <v/>
      </c>
    </row>
    <row r="75" ht="15" customHeight="1">
      <c r="A75" t="inlineStr">
        <is>
          <t>A 12184-2023</t>
        </is>
      </c>
      <c r="B75" s="1" t="n">
        <v>44998</v>
      </c>
      <c r="C75" s="1" t="n">
        <v>45662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HYPERLINK("https://klasma.github.io/Logging_0760/artfynd/A 12184-2023 artfynd.xlsx", "A 12184-2023")</f>
        <v/>
      </c>
      <c r="T75">
        <f>HYPERLINK("https://klasma.github.io/Logging_0760/kartor/A 12184-2023 karta.png", "A 12184-2023")</f>
        <v/>
      </c>
      <c r="V75">
        <f>HYPERLINK("https://klasma.github.io/Logging_0760/klagomål/A 12184-2023 FSC-klagomål.docx", "A 12184-2023")</f>
        <v/>
      </c>
      <c r="W75">
        <f>HYPERLINK("https://klasma.github.io/Logging_0760/klagomålsmail/A 12184-2023 FSC-klagomål mail.docx", "A 12184-2023")</f>
        <v/>
      </c>
      <c r="X75">
        <f>HYPERLINK("https://klasma.github.io/Logging_0760/tillsyn/A 12184-2023 tillsynsbegäran.docx", "A 12184-2023")</f>
        <v/>
      </c>
      <c r="Y75">
        <f>HYPERLINK("https://klasma.github.io/Logging_0760/tillsynsmail/A 12184-2023 tillsynsbegäran mail.docx", "A 12184-2023")</f>
        <v/>
      </c>
    </row>
    <row r="76" ht="15" customHeight="1">
      <c r="A76" t="inlineStr">
        <is>
          <t>A 42987-2023</t>
        </is>
      </c>
      <c r="B76" s="1" t="n">
        <v>45182</v>
      </c>
      <c r="C76" s="1" t="n">
        <v>45662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HYPERLINK("https://klasma.github.io/Logging_0760/artfynd/A 42987-2023 artfynd.xlsx", "A 42987-2023")</f>
        <v/>
      </c>
      <c r="T76">
        <f>HYPERLINK("https://klasma.github.io/Logging_0760/kartor/A 42987-2023 karta.png", "A 42987-2023")</f>
        <v/>
      </c>
      <c r="V76">
        <f>HYPERLINK("https://klasma.github.io/Logging_0760/klagomål/A 42987-2023 FSC-klagomål.docx", "A 42987-2023")</f>
        <v/>
      </c>
      <c r="W76">
        <f>HYPERLINK("https://klasma.github.io/Logging_0760/klagomålsmail/A 42987-2023 FSC-klagomål mail.docx", "A 42987-2023")</f>
        <v/>
      </c>
      <c r="X76">
        <f>HYPERLINK("https://klasma.github.io/Logging_0760/tillsyn/A 42987-2023 tillsynsbegäran.docx", "A 42987-2023")</f>
        <v/>
      </c>
      <c r="Y76">
        <f>HYPERLINK("https://klasma.github.io/Logging_0760/tillsynsmail/A 42987-2023 tillsynsbegäran mail.docx", "A 42987-2023")</f>
        <v/>
      </c>
    </row>
    <row r="77" ht="15" customHeight="1">
      <c r="A77" t="inlineStr">
        <is>
          <t>A 53697-2023</t>
        </is>
      </c>
      <c r="B77" s="1" t="n">
        <v>45230</v>
      </c>
      <c r="C77" s="1" t="n">
        <v>45662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Vårärt</t>
        </is>
      </c>
      <c r="S77">
        <f>HYPERLINK("https://klasma.github.io/Logging_0760/artfynd/A 53697-2023 artfynd.xlsx", "A 53697-2023")</f>
        <v/>
      </c>
      <c r="T77">
        <f>HYPERLINK("https://klasma.github.io/Logging_0760/kartor/A 53697-2023 karta.png", "A 53697-2023")</f>
        <v/>
      </c>
      <c r="V77">
        <f>HYPERLINK("https://klasma.github.io/Logging_0760/klagomål/A 53697-2023 FSC-klagomål.docx", "A 53697-2023")</f>
        <v/>
      </c>
      <c r="W77">
        <f>HYPERLINK("https://klasma.github.io/Logging_0760/klagomålsmail/A 53697-2023 FSC-klagomål mail.docx", "A 53697-2023")</f>
        <v/>
      </c>
      <c r="X77">
        <f>HYPERLINK("https://klasma.github.io/Logging_0760/tillsyn/A 53697-2023 tillsynsbegäran.docx", "A 53697-2023")</f>
        <v/>
      </c>
      <c r="Y77">
        <f>HYPERLINK("https://klasma.github.io/Logging_0760/tillsynsmail/A 53697-2023 tillsynsbegäran mail.docx", "A 53697-2023")</f>
        <v/>
      </c>
    </row>
    <row r="78" ht="15" customHeight="1">
      <c r="A78" t="inlineStr">
        <is>
          <t>A 65125-2023</t>
        </is>
      </c>
      <c r="B78" s="1" t="n">
        <v>45287</v>
      </c>
      <c r="C78" s="1" t="n">
        <v>45662</v>
      </c>
      <c r="D78" t="inlineStr">
        <is>
          <t>KRONOBERGS LÄN</t>
        </is>
      </c>
      <c r="E78" t="inlineStr">
        <is>
          <t>UPPVIDINGE</t>
        </is>
      </c>
      <c r="G78" t="n">
        <v>5.1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HYPERLINK("https://klasma.github.io/Logging_0760/artfynd/A 65125-2023 artfynd.xlsx", "A 65125-2023")</f>
        <v/>
      </c>
      <c r="T78">
        <f>HYPERLINK("https://klasma.github.io/Logging_0760/kartor/A 65125-2023 karta.png", "A 65125-2023")</f>
        <v/>
      </c>
      <c r="V78">
        <f>HYPERLINK("https://klasma.github.io/Logging_0760/klagomål/A 65125-2023 FSC-klagomål.docx", "A 65125-2023")</f>
        <v/>
      </c>
      <c r="W78">
        <f>HYPERLINK("https://klasma.github.io/Logging_0760/klagomålsmail/A 65125-2023 FSC-klagomål mail.docx", "A 65125-2023")</f>
        <v/>
      </c>
      <c r="X78">
        <f>HYPERLINK("https://klasma.github.io/Logging_0760/tillsyn/A 65125-2023 tillsynsbegäran.docx", "A 65125-2023")</f>
        <v/>
      </c>
      <c r="Y78">
        <f>HYPERLINK("https://klasma.github.io/Logging_0760/tillsynsmail/A 65125-2023 tillsynsbegäran mail.docx", "A 65125-2023")</f>
        <v/>
      </c>
    </row>
    <row r="79" ht="15" customHeight="1">
      <c r="A79" t="inlineStr">
        <is>
          <t>A 1605-2024</t>
        </is>
      </c>
      <c r="B79" s="1" t="n">
        <v>45306</v>
      </c>
      <c r="C79" s="1" t="n">
        <v>45662</v>
      </c>
      <c r="D79" t="inlineStr">
        <is>
          <t>KRONOBERGS LÄN</t>
        </is>
      </c>
      <c r="E79" t="inlineStr">
        <is>
          <t>UPPVIDINGE</t>
        </is>
      </c>
      <c r="F79" t="inlineStr">
        <is>
          <t>Kommuner</t>
        </is>
      </c>
      <c r="G79" t="n">
        <v>10.7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HYPERLINK("https://klasma.github.io/Logging_0760/artfynd/A 1605-2024 artfynd.xlsx", "A 1605-2024")</f>
        <v/>
      </c>
      <c r="T79">
        <f>HYPERLINK("https://klasma.github.io/Logging_0760/kartor/A 1605-2024 karta.png", "A 1605-2024")</f>
        <v/>
      </c>
      <c r="V79">
        <f>HYPERLINK("https://klasma.github.io/Logging_0760/klagomål/A 1605-2024 FSC-klagomål.docx", "A 1605-2024")</f>
        <v/>
      </c>
      <c r="W79">
        <f>HYPERLINK("https://klasma.github.io/Logging_0760/klagomålsmail/A 1605-2024 FSC-klagomål mail.docx", "A 1605-2024")</f>
        <v/>
      </c>
      <c r="X79">
        <f>HYPERLINK("https://klasma.github.io/Logging_0760/tillsyn/A 1605-2024 tillsynsbegäran.docx", "A 1605-2024")</f>
        <v/>
      </c>
      <c r="Y79">
        <f>HYPERLINK("https://klasma.github.io/Logging_0760/tillsynsmail/A 1605-2024 tillsynsbegäran mail.docx", "A 1605-2024")</f>
        <v/>
      </c>
    </row>
    <row r="80" ht="15" customHeight="1">
      <c r="A80" t="inlineStr">
        <is>
          <t>A 5856-2024</t>
        </is>
      </c>
      <c r="B80" s="1" t="n">
        <v>45335</v>
      </c>
      <c r="C80" s="1" t="n">
        <v>45662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HYPERLINK("https://klasma.github.io/Logging_0760/artfynd/A 5856-2024 artfynd.xlsx", "A 5856-2024")</f>
        <v/>
      </c>
      <c r="T80">
        <f>HYPERLINK("https://klasma.github.io/Logging_0760/kartor/A 5856-2024 karta.png", "A 5856-2024")</f>
        <v/>
      </c>
      <c r="V80">
        <f>HYPERLINK("https://klasma.github.io/Logging_0760/klagomål/A 5856-2024 FSC-klagomål.docx", "A 5856-2024")</f>
        <v/>
      </c>
      <c r="W80">
        <f>HYPERLINK("https://klasma.github.io/Logging_0760/klagomålsmail/A 5856-2024 FSC-klagomål mail.docx", "A 5856-2024")</f>
        <v/>
      </c>
      <c r="X80">
        <f>HYPERLINK("https://klasma.github.io/Logging_0760/tillsyn/A 5856-2024 tillsynsbegäran.docx", "A 5856-2024")</f>
        <v/>
      </c>
      <c r="Y80">
        <f>HYPERLINK("https://klasma.github.io/Logging_0760/tillsynsmail/A 5856-2024 tillsynsbegäran mail.docx", "A 5856-2024")</f>
        <v/>
      </c>
    </row>
    <row r="81" ht="15" customHeight="1">
      <c r="A81" t="inlineStr">
        <is>
          <t>A 7984-2024</t>
        </is>
      </c>
      <c r="B81" s="1" t="n">
        <v>45348</v>
      </c>
      <c r="C81" s="1" t="n">
        <v>45662</v>
      </c>
      <c r="D81" t="inlineStr">
        <is>
          <t>KRONOBERGS LÄN</t>
        </is>
      </c>
      <c r="E81" t="inlineStr">
        <is>
          <t>UPPVIDINGE</t>
        </is>
      </c>
      <c r="G81" t="n">
        <v>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Strandlummer</t>
        </is>
      </c>
      <c r="S81">
        <f>HYPERLINK("https://klasma.github.io/Logging_0760/artfynd/A 7984-2024 artfynd.xlsx", "A 7984-2024")</f>
        <v/>
      </c>
      <c r="T81">
        <f>HYPERLINK("https://klasma.github.io/Logging_0760/kartor/A 7984-2024 karta.png", "A 7984-2024")</f>
        <v/>
      </c>
      <c r="V81">
        <f>HYPERLINK("https://klasma.github.io/Logging_0760/klagomål/A 7984-2024 FSC-klagomål.docx", "A 7984-2024")</f>
        <v/>
      </c>
      <c r="W81">
        <f>HYPERLINK("https://klasma.github.io/Logging_0760/klagomålsmail/A 7984-2024 FSC-klagomål mail.docx", "A 7984-2024")</f>
        <v/>
      </c>
      <c r="X81">
        <f>HYPERLINK("https://klasma.github.io/Logging_0760/tillsyn/A 7984-2024 tillsynsbegäran.docx", "A 7984-2024")</f>
        <v/>
      </c>
      <c r="Y81">
        <f>HYPERLINK("https://klasma.github.io/Logging_0760/tillsynsmail/A 7984-2024 tillsynsbegäran mail.docx", "A 7984-2024")</f>
        <v/>
      </c>
    </row>
    <row r="82" ht="15" customHeight="1">
      <c r="A82" t="inlineStr">
        <is>
          <t>A 30112-2024</t>
        </is>
      </c>
      <c r="B82" s="1" t="n">
        <v>45489</v>
      </c>
      <c r="C82" s="1" t="n">
        <v>45662</v>
      </c>
      <c r="D82" t="inlineStr">
        <is>
          <t>KRONOBERGS LÄN</t>
        </is>
      </c>
      <c r="E82" t="inlineStr">
        <is>
          <t>UPPVIDINGE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HYPERLINK("https://klasma.github.io/Logging_0760/artfynd/A 30112-2024 artfynd.xlsx", "A 30112-2024")</f>
        <v/>
      </c>
      <c r="T82">
        <f>HYPERLINK("https://klasma.github.io/Logging_0760/kartor/A 30112-2024 karta.png", "A 30112-2024")</f>
        <v/>
      </c>
      <c r="V82">
        <f>HYPERLINK("https://klasma.github.io/Logging_0760/klagomål/A 30112-2024 FSC-klagomål.docx", "A 30112-2024")</f>
        <v/>
      </c>
      <c r="W82">
        <f>HYPERLINK("https://klasma.github.io/Logging_0760/klagomålsmail/A 30112-2024 FSC-klagomål mail.docx", "A 30112-2024")</f>
        <v/>
      </c>
      <c r="X82">
        <f>HYPERLINK("https://klasma.github.io/Logging_0760/tillsyn/A 30112-2024 tillsynsbegäran.docx", "A 30112-2024")</f>
        <v/>
      </c>
      <c r="Y82">
        <f>HYPERLINK("https://klasma.github.io/Logging_0760/tillsynsmail/A 30112-2024 tillsynsbegäran mail.docx", "A 30112-2024")</f>
        <v/>
      </c>
    </row>
    <row r="83" ht="15" customHeight="1">
      <c r="A83" t="inlineStr">
        <is>
          <t>A 55799-2024</t>
        </is>
      </c>
      <c r="B83" s="1" t="n">
        <v>45623</v>
      </c>
      <c r="C83" s="1" t="n">
        <v>45662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HYPERLINK("https://klasma.github.io/Logging_0760/artfynd/A 55799-2024 artfynd.xlsx", "A 55799-2024")</f>
        <v/>
      </c>
      <c r="T83">
        <f>HYPERLINK("https://klasma.github.io/Logging_0760/kartor/A 55799-2024 karta.png", "A 55799-2024")</f>
        <v/>
      </c>
      <c r="V83">
        <f>HYPERLINK("https://klasma.github.io/Logging_0760/klagomål/A 55799-2024 FSC-klagomål.docx", "A 55799-2024")</f>
        <v/>
      </c>
      <c r="W83">
        <f>HYPERLINK("https://klasma.github.io/Logging_0760/klagomålsmail/A 55799-2024 FSC-klagomål mail.docx", "A 55799-2024")</f>
        <v/>
      </c>
      <c r="X83">
        <f>HYPERLINK("https://klasma.github.io/Logging_0760/tillsyn/A 55799-2024 tillsynsbegäran.docx", "A 55799-2024")</f>
        <v/>
      </c>
      <c r="Y83">
        <f>HYPERLINK("https://klasma.github.io/Logging_0760/tillsynsmail/A 55799-2024 tillsynsbegäran mail.docx", "A 55799-2024")</f>
        <v/>
      </c>
    </row>
    <row r="84" ht="15" customHeight="1">
      <c r="A84" t="inlineStr">
        <is>
          <t>A 17832-2019</t>
        </is>
      </c>
      <c r="B84" s="1" t="n">
        <v>43556</v>
      </c>
      <c r="C84" s="1" t="n">
        <v>45662</v>
      </c>
      <c r="D84" t="inlineStr">
        <is>
          <t>KRONOBERGS LÄN</t>
        </is>
      </c>
      <c r="E84" t="inlineStr">
        <is>
          <t>UPPVIDINGE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18742-2019</t>
        </is>
      </c>
      <c r="B85" s="1" t="n">
        <v>43560</v>
      </c>
      <c r="C85" s="1" t="n">
        <v>45662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18974-2019</t>
        </is>
      </c>
      <c r="B86" s="1" t="n">
        <v>43563</v>
      </c>
      <c r="C86" s="1" t="n">
        <v>45662</v>
      </c>
      <c r="D86" t="inlineStr">
        <is>
          <t>KRONOBERGS LÄN</t>
        </is>
      </c>
      <c r="E86" t="inlineStr">
        <is>
          <t>UPPVIDINGE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19399-2019</t>
        </is>
      </c>
      <c r="B87" s="1" t="n">
        <v>43565</v>
      </c>
      <c r="C87" s="1" t="n">
        <v>45662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20708-2019</t>
        </is>
      </c>
      <c r="B88" s="1" t="n">
        <v>43573</v>
      </c>
      <c r="C88" s="1" t="n">
        <v>45662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20665-2019</t>
        </is>
      </c>
      <c r="B89" s="1" t="n">
        <v>43573</v>
      </c>
      <c r="C89" s="1" t="n">
        <v>45662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20663-2019</t>
        </is>
      </c>
      <c r="B90" s="1" t="n">
        <v>43573</v>
      </c>
      <c r="C90" s="1" t="n">
        <v>45662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20662-2019</t>
        </is>
      </c>
      <c r="B91" s="1" t="n">
        <v>43573</v>
      </c>
      <c r="C91" s="1" t="n">
        <v>45662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21626-2019</t>
        </is>
      </c>
      <c r="B92" s="1" t="n">
        <v>43581</v>
      </c>
      <c r="C92" s="1" t="n">
        <v>45662</v>
      </c>
      <c r="D92" t="inlineStr">
        <is>
          <t>KRONOBERGS LÄN</t>
        </is>
      </c>
      <c r="E92" t="inlineStr">
        <is>
          <t>UPPVIDINGE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22802-2019</t>
        </is>
      </c>
      <c r="B93" s="1" t="n">
        <v>43590</v>
      </c>
      <c r="C93" s="1" t="n">
        <v>45662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22805-2019</t>
        </is>
      </c>
      <c r="B94" s="1" t="n">
        <v>43590</v>
      </c>
      <c r="C94" s="1" t="n">
        <v>45662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22803-2019</t>
        </is>
      </c>
      <c r="B95" s="1" t="n">
        <v>43590</v>
      </c>
      <c r="C95" s="1" t="n">
        <v>45662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22921-2019</t>
        </is>
      </c>
      <c r="B96" s="1" t="n">
        <v>43591</v>
      </c>
      <c r="C96" s="1" t="n">
        <v>45662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22918-2019</t>
        </is>
      </c>
      <c r="B97" s="1" t="n">
        <v>43591</v>
      </c>
      <c r="C97" s="1" t="n">
        <v>45662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22923-2019</t>
        </is>
      </c>
      <c r="B98" s="1" t="n">
        <v>43591</v>
      </c>
      <c r="C98" s="1" t="n">
        <v>45662</v>
      </c>
      <c r="D98" t="inlineStr">
        <is>
          <t>KRONOBERGS LÄN</t>
        </is>
      </c>
      <c r="E98" t="inlineStr">
        <is>
          <t>UPPVIDINGE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23183-2019</t>
        </is>
      </c>
      <c r="B99" s="1" t="n">
        <v>43592</v>
      </c>
      <c r="C99" s="1" t="n">
        <v>45662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23224-2019</t>
        </is>
      </c>
      <c r="B100" s="1" t="n">
        <v>43592</v>
      </c>
      <c r="C100" s="1" t="n">
        <v>45662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23207-2019</t>
        </is>
      </c>
      <c r="B101" s="1" t="n">
        <v>43592</v>
      </c>
      <c r="C101" s="1" t="n">
        <v>45662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23580-2019</t>
        </is>
      </c>
      <c r="B102" s="1" t="n">
        <v>43594</v>
      </c>
      <c r="C102" s="1" t="n">
        <v>45662</v>
      </c>
      <c r="D102" t="inlineStr">
        <is>
          <t>KRONOBERGS LÄN</t>
        </is>
      </c>
      <c r="E102" t="inlineStr">
        <is>
          <t>UPPVIDINGE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24049-2019</t>
        </is>
      </c>
      <c r="B103" s="1" t="n">
        <v>43598</v>
      </c>
      <c r="C103" s="1" t="n">
        <v>45662</v>
      </c>
      <c r="D103" t="inlineStr">
        <is>
          <t>KRONOBERGS LÄN</t>
        </is>
      </c>
      <c r="E103" t="inlineStr">
        <is>
          <t>UPPVIDINGE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24377-2019</t>
        </is>
      </c>
      <c r="B104" s="1" t="n">
        <v>43599</v>
      </c>
      <c r="C104" s="1" t="n">
        <v>45662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24373-2019</t>
        </is>
      </c>
      <c r="B105" s="1" t="n">
        <v>43599</v>
      </c>
      <c r="C105" s="1" t="n">
        <v>45662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24378-2019</t>
        </is>
      </c>
      <c r="B106" s="1" t="n">
        <v>43599</v>
      </c>
      <c r="C106" s="1" t="n">
        <v>45662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24374-2019</t>
        </is>
      </c>
      <c r="B107" s="1" t="n">
        <v>43599</v>
      </c>
      <c r="C107" s="1" t="n">
        <v>45662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24376-2019</t>
        </is>
      </c>
      <c r="B108" s="1" t="n">
        <v>43599</v>
      </c>
      <c r="C108" s="1" t="n">
        <v>45662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25117-2019</t>
        </is>
      </c>
      <c r="B109" s="1" t="n">
        <v>43600</v>
      </c>
      <c r="C109" s="1" t="n">
        <v>45662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24971-2019</t>
        </is>
      </c>
      <c r="B110" s="1" t="n">
        <v>43600</v>
      </c>
      <c r="C110" s="1" t="n">
        <v>45662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25113-2019</t>
        </is>
      </c>
      <c r="B111" s="1" t="n">
        <v>43600</v>
      </c>
      <c r="C111" s="1" t="n">
        <v>45662</v>
      </c>
      <c r="D111" t="inlineStr">
        <is>
          <t>KRONOBERGS LÄN</t>
        </is>
      </c>
      <c r="E111" t="inlineStr">
        <is>
          <t>UPPVIDINGE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24627-2019</t>
        </is>
      </c>
      <c r="B112" s="1" t="n">
        <v>43601</v>
      </c>
      <c r="C112" s="1" t="n">
        <v>45662</v>
      </c>
      <c r="D112" t="inlineStr">
        <is>
          <t>KRONOBERGS LÄN</t>
        </is>
      </c>
      <c r="E112" t="inlineStr">
        <is>
          <t>UPPVIDINGE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26299-2019</t>
        </is>
      </c>
      <c r="B113" s="1" t="n">
        <v>43612</v>
      </c>
      <c r="C113" s="1" t="n">
        <v>45662</v>
      </c>
      <c r="D113" t="inlineStr">
        <is>
          <t>KRONOBERGS LÄN</t>
        </is>
      </c>
      <c r="E113" t="inlineStr">
        <is>
          <t>UPPVIDINGE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29198-2019</t>
        </is>
      </c>
      <c r="B114" s="1" t="n">
        <v>43623</v>
      </c>
      <c r="C114" s="1" t="n">
        <v>45662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28844-2019</t>
        </is>
      </c>
      <c r="B115" s="1" t="n">
        <v>43627</v>
      </c>
      <c r="C115" s="1" t="n">
        <v>45662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28961-2019</t>
        </is>
      </c>
      <c r="B116" s="1" t="n">
        <v>43628</v>
      </c>
      <c r="C116" s="1" t="n">
        <v>45662</v>
      </c>
      <c r="D116" t="inlineStr">
        <is>
          <t>KRONOBERGS LÄN</t>
        </is>
      </c>
      <c r="E116" t="inlineStr">
        <is>
          <t>UPPVIDINGE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29057-2019</t>
        </is>
      </c>
      <c r="B117" s="1" t="n">
        <v>43628</v>
      </c>
      <c r="C117" s="1" t="n">
        <v>45662</v>
      </c>
      <c r="D117" t="inlineStr">
        <is>
          <t>KRONOBERGS LÄN</t>
        </is>
      </c>
      <c r="E117" t="inlineStr">
        <is>
          <t>UPPVIDINGE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29645-2019</t>
        </is>
      </c>
      <c r="B118" s="1" t="n">
        <v>43630</v>
      </c>
      <c r="C118" s="1" t="n">
        <v>45662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29738-2019</t>
        </is>
      </c>
      <c r="B119" s="1" t="n">
        <v>43630</v>
      </c>
      <c r="C119" s="1" t="n">
        <v>45662</v>
      </c>
      <c r="D119" t="inlineStr">
        <is>
          <t>KRONOBERGS LÄN</t>
        </is>
      </c>
      <c r="E119" t="inlineStr">
        <is>
          <t>UPPVIDINGE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29643-2019</t>
        </is>
      </c>
      <c r="B120" s="1" t="n">
        <v>43630</v>
      </c>
      <c r="C120" s="1" t="n">
        <v>45662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29739-2019</t>
        </is>
      </c>
      <c r="B121" s="1" t="n">
        <v>43630</v>
      </c>
      <c r="C121" s="1" t="n">
        <v>45662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30753-2019</t>
        </is>
      </c>
      <c r="B122" s="1" t="n">
        <v>43636</v>
      </c>
      <c r="C122" s="1" t="n">
        <v>45662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30875-2019</t>
        </is>
      </c>
      <c r="B123" s="1" t="n">
        <v>43636</v>
      </c>
      <c r="C123" s="1" t="n">
        <v>45662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30874-2019</t>
        </is>
      </c>
      <c r="B124" s="1" t="n">
        <v>43636</v>
      </c>
      <c r="C124" s="1" t="n">
        <v>45662</v>
      </c>
      <c r="D124" t="inlineStr">
        <is>
          <t>KRONOBERGS LÄN</t>
        </is>
      </c>
      <c r="E124" t="inlineStr">
        <is>
          <t>UPPVIDINGE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30798-2019</t>
        </is>
      </c>
      <c r="B125" s="1" t="n">
        <v>43636</v>
      </c>
      <c r="C125" s="1" t="n">
        <v>45662</v>
      </c>
      <c r="D125" t="inlineStr">
        <is>
          <t>KRONOBERGS LÄN</t>
        </is>
      </c>
      <c r="E125" t="inlineStr">
        <is>
          <t>UPPVIDINGE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30749-2019</t>
        </is>
      </c>
      <c r="B126" s="1" t="n">
        <v>43636</v>
      </c>
      <c r="C126" s="1" t="n">
        <v>45662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31150-2019</t>
        </is>
      </c>
      <c r="B127" s="1" t="n">
        <v>43640</v>
      </c>
      <c r="C127" s="1" t="n">
        <v>45662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31256-2019</t>
        </is>
      </c>
      <c r="B128" s="1" t="n">
        <v>43640</v>
      </c>
      <c r="C128" s="1" t="n">
        <v>45662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31255-2019</t>
        </is>
      </c>
      <c r="B129" s="1" t="n">
        <v>43640</v>
      </c>
      <c r="C129" s="1" t="n">
        <v>45662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31114-2019</t>
        </is>
      </c>
      <c r="B130" s="1" t="n">
        <v>43640</v>
      </c>
      <c r="C130" s="1" t="n">
        <v>45662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32508-2019</t>
        </is>
      </c>
      <c r="B131" s="1" t="n">
        <v>43645</v>
      </c>
      <c r="C131" s="1" t="n">
        <v>45662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32507-2019</t>
        </is>
      </c>
      <c r="B132" s="1" t="n">
        <v>43645</v>
      </c>
      <c r="C132" s="1" t="n">
        <v>45662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35194-2019</t>
        </is>
      </c>
      <c r="B133" s="1" t="n">
        <v>43650</v>
      </c>
      <c r="C133" s="1" t="n">
        <v>45662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35201-2019</t>
        </is>
      </c>
      <c r="B134" s="1" t="n">
        <v>43650</v>
      </c>
      <c r="C134" s="1" t="n">
        <v>45662</v>
      </c>
      <c r="D134" t="inlineStr">
        <is>
          <t>KRONOBERGS LÄN</t>
        </is>
      </c>
      <c r="E134" t="inlineStr">
        <is>
          <t>UPPVIDINGE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34942-2019</t>
        </is>
      </c>
      <c r="B135" s="1" t="n">
        <v>43650</v>
      </c>
      <c r="C135" s="1" t="n">
        <v>45662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35185-2019</t>
        </is>
      </c>
      <c r="B136" s="1" t="n">
        <v>43650</v>
      </c>
      <c r="C136" s="1" t="n">
        <v>45662</v>
      </c>
      <c r="D136" t="inlineStr">
        <is>
          <t>KRONOBERGS LÄN</t>
        </is>
      </c>
      <c r="E136" t="inlineStr">
        <is>
          <t>UPPVIDINGE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35278-2019</t>
        </is>
      </c>
      <c r="B137" s="1" t="n">
        <v>43651</v>
      </c>
      <c r="C137" s="1" t="n">
        <v>45662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34293-2019</t>
        </is>
      </c>
      <c r="B138" s="1" t="n">
        <v>43655</v>
      </c>
      <c r="C138" s="1" t="n">
        <v>45662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34294-2019</t>
        </is>
      </c>
      <c r="B139" s="1" t="n">
        <v>43655</v>
      </c>
      <c r="C139" s="1" t="n">
        <v>45662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34295-2019</t>
        </is>
      </c>
      <c r="B140" s="1" t="n">
        <v>43655</v>
      </c>
      <c r="C140" s="1" t="n">
        <v>45662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34292-2019</t>
        </is>
      </c>
      <c r="B141" s="1" t="n">
        <v>43655</v>
      </c>
      <c r="C141" s="1" t="n">
        <v>45662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34296-2019</t>
        </is>
      </c>
      <c r="B142" s="1" t="n">
        <v>43655</v>
      </c>
      <c r="C142" s="1" t="n">
        <v>45662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35632-2019</t>
        </is>
      </c>
      <c r="B143" s="1" t="n">
        <v>43655</v>
      </c>
      <c r="C143" s="1" t="n">
        <v>45662</v>
      </c>
      <c r="D143" t="inlineStr">
        <is>
          <t>KRONOBERGS LÄN</t>
        </is>
      </c>
      <c r="E143" t="inlineStr">
        <is>
          <t>UPPVIDINGE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35635-2019</t>
        </is>
      </c>
      <c r="B144" s="1" t="n">
        <v>43655</v>
      </c>
      <c r="C144" s="1" t="n">
        <v>45662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34440-2019</t>
        </is>
      </c>
      <c r="B145" s="1" t="n">
        <v>43656</v>
      </c>
      <c r="C145" s="1" t="n">
        <v>45662</v>
      </c>
      <c r="D145" t="inlineStr">
        <is>
          <t>KRONOBERGS LÄN</t>
        </is>
      </c>
      <c r="E145" t="inlineStr">
        <is>
          <t>UPPVIDINGE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34990-2019</t>
        </is>
      </c>
      <c r="B146" s="1" t="n">
        <v>43659</v>
      </c>
      <c r="C146" s="1" t="n">
        <v>45662</v>
      </c>
      <c r="D146" t="inlineStr">
        <is>
          <t>KRONOBERGS LÄN</t>
        </is>
      </c>
      <c r="E146" t="inlineStr">
        <is>
          <t>UPPVIDINGE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35368-2019</t>
        </is>
      </c>
      <c r="B147" s="1" t="n">
        <v>43663</v>
      </c>
      <c r="C147" s="1" t="n">
        <v>45662</v>
      </c>
      <c r="D147" t="inlineStr">
        <is>
          <t>KRONOBERGS LÄN</t>
        </is>
      </c>
      <c r="E147" t="inlineStr">
        <is>
          <t>UPPVIDINGE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35556-2019</t>
        </is>
      </c>
      <c r="B148" s="1" t="n">
        <v>43664</v>
      </c>
      <c r="C148" s="1" t="n">
        <v>45662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35711-2019</t>
        </is>
      </c>
      <c r="B149" s="1" t="n">
        <v>43664</v>
      </c>
      <c r="C149" s="1" t="n">
        <v>45662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36067-2019</t>
        </is>
      </c>
      <c r="B150" s="1" t="n">
        <v>43668</v>
      </c>
      <c r="C150" s="1" t="n">
        <v>45662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36915-2019</t>
        </is>
      </c>
      <c r="B151" s="1" t="n">
        <v>43675</v>
      </c>
      <c r="C151" s="1" t="n">
        <v>45662</v>
      </c>
      <c r="D151" t="inlineStr">
        <is>
          <t>KRONOBERGS LÄN</t>
        </is>
      </c>
      <c r="E151" t="inlineStr">
        <is>
          <t>UPPVIDINGE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36934-2019</t>
        </is>
      </c>
      <c r="B152" s="1" t="n">
        <v>43675</v>
      </c>
      <c r="C152" s="1" t="n">
        <v>45662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36937-2019</t>
        </is>
      </c>
      <c r="B153" s="1" t="n">
        <v>43675</v>
      </c>
      <c r="C153" s="1" t="n">
        <v>45662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36986-2019</t>
        </is>
      </c>
      <c r="B154" s="1" t="n">
        <v>43676</v>
      </c>
      <c r="C154" s="1" t="n">
        <v>45662</v>
      </c>
      <c r="D154" t="inlineStr">
        <is>
          <t>KRONOBERGS LÄN</t>
        </is>
      </c>
      <c r="E154" t="inlineStr">
        <is>
          <t>UPPVIDINGE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37287-2019</t>
        </is>
      </c>
      <c r="B155" s="1" t="n">
        <v>43677</v>
      </c>
      <c r="C155" s="1" t="n">
        <v>45662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37195-2019</t>
        </is>
      </c>
      <c r="B156" s="1" t="n">
        <v>43677</v>
      </c>
      <c r="C156" s="1" t="n">
        <v>45662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37289-2019</t>
        </is>
      </c>
      <c r="B157" s="1" t="n">
        <v>43677</v>
      </c>
      <c r="C157" s="1" t="n">
        <v>45662</v>
      </c>
      <c r="D157" t="inlineStr">
        <is>
          <t>KRONOBERGS LÄN</t>
        </is>
      </c>
      <c r="E157" t="inlineStr">
        <is>
          <t>UPPVIDINGE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37349-2019</t>
        </is>
      </c>
      <c r="B158" s="1" t="n">
        <v>43678</v>
      </c>
      <c r="C158" s="1" t="n">
        <v>45662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37354-2019</t>
        </is>
      </c>
      <c r="B159" s="1" t="n">
        <v>43678</v>
      </c>
      <c r="C159" s="1" t="n">
        <v>45662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37351-2019</t>
        </is>
      </c>
      <c r="B160" s="1" t="n">
        <v>43678</v>
      </c>
      <c r="C160" s="1" t="n">
        <v>45662</v>
      </c>
      <c r="D160" t="inlineStr">
        <is>
          <t>KRONOBERGS LÄN</t>
        </is>
      </c>
      <c r="E160" t="inlineStr">
        <is>
          <t>UPPVIDINGE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37353-2019</t>
        </is>
      </c>
      <c r="B161" s="1" t="n">
        <v>43678</v>
      </c>
      <c r="C161" s="1" t="n">
        <v>45662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37446-2019</t>
        </is>
      </c>
      <c r="B162" s="1" t="n">
        <v>43679</v>
      </c>
      <c r="C162" s="1" t="n">
        <v>45662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38412-2019</t>
        </is>
      </c>
      <c r="B163" s="1" t="n">
        <v>43684</v>
      </c>
      <c r="C163" s="1" t="n">
        <v>45662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38851-2019</t>
        </is>
      </c>
      <c r="B164" s="1" t="n">
        <v>43689</v>
      </c>
      <c r="C164" s="1" t="n">
        <v>45662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39362-2019</t>
        </is>
      </c>
      <c r="B165" s="1" t="n">
        <v>43690</v>
      </c>
      <c r="C165" s="1" t="n">
        <v>45662</v>
      </c>
      <c r="D165" t="inlineStr">
        <is>
          <t>KRONOBERGS LÄN</t>
        </is>
      </c>
      <c r="E165" t="inlineStr">
        <is>
          <t>UPPVIDINGE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39386-2019</t>
        </is>
      </c>
      <c r="B166" s="1" t="n">
        <v>43690</v>
      </c>
      <c r="C166" s="1" t="n">
        <v>45662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39361-2019</t>
        </is>
      </c>
      <c r="B167" s="1" t="n">
        <v>43690</v>
      </c>
      <c r="C167" s="1" t="n">
        <v>45662</v>
      </c>
      <c r="D167" t="inlineStr">
        <is>
          <t>KRONOBERGS LÄN</t>
        </is>
      </c>
      <c r="E167" t="inlineStr">
        <is>
          <t>UPPVIDINGE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40896-2019</t>
        </is>
      </c>
      <c r="B168" s="1" t="n">
        <v>43693</v>
      </c>
      <c r="C168" s="1" t="n">
        <v>45662</v>
      </c>
      <c r="D168" t="inlineStr">
        <is>
          <t>KRONOBERGS LÄN</t>
        </is>
      </c>
      <c r="E168" t="inlineStr">
        <is>
          <t>UPPVIDINGE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40060-2019</t>
        </is>
      </c>
      <c r="B169" s="1" t="n">
        <v>43693</v>
      </c>
      <c r="C169" s="1" t="n">
        <v>45662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40317-2019</t>
        </is>
      </c>
      <c r="B170" s="1" t="n">
        <v>43696</v>
      </c>
      <c r="C170" s="1" t="n">
        <v>45662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40333-2019</t>
        </is>
      </c>
      <c r="B171" s="1" t="n">
        <v>43696</v>
      </c>
      <c r="C171" s="1" t="n">
        <v>45662</v>
      </c>
      <c r="D171" t="inlineStr">
        <is>
          <t>KRONOBERGS LÄN</t>
        </is>
      </c>
      <c r="E171" t="inlineStr">
        <is>
          <t>UPPVIDINGE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40347-2019</t>
        </is>
      </c>
      <c r="B172" s="1" t="n">
        <v>43696</v>
      </c>
      <c r="C172" s="1" t="n">
        <v>45662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40948-2019</t>
        </is>
      </c>
      <c r="B173" s="1" t="n">
        <v>43696</v>
      </c>
      <c r="C173" s="1" t="n">
        <v>45662</v>
      </c>
      <c r="D173" t="inlineStr">
        <is>
          <t>KRONOBERGS LÄN</t>
        </is>
      </c>
      <c r="E173" t="inlineStr">
        <is>
          <t>UPPVIDINGE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40945-2019</t>
        </is>
      </c>
      <c r="B174" s="1" t="n">
        <v>43696</v>
      </c>
      <c r="C174" s="1" t="n">
        <v>45662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42395-2019</t>
        </is>
      </c>
      <c r="B175" s="1" t="n">
        <v>43703</v>
      </c>
      <c r="C175" s="1" t="n">
        <v>45662</v>
      </c>
      <c r="D175" t="inlineStr">
        <is>
          <t>KRONOBERGS LÄN</t>
        </is>
      </c>
      <c r="E175" t="inlineStr">
        <is>
          <t>UPPVIDINGE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43576-2019</t>
        </is>
      </c>
      <c r="B176" s="1" t="n">
        <v>43706</v>
      </c>
      <c r="C176" s="1" t="n">
        <v>45662</v>
      </c>
      <c r="D176" t="inlineStr">
        <is>
          <t>KRONOBERGS LÄN</t>
        </is>
      </c>
      <c r="E176" t="inlineStr">
        <is>
          <t>UPPVIDINGE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43767-2019</t>
        </is>
      </c>
      <c r="B177" s="1" t="n">
        <v>43707</v>
      </c>
      <c r="C177" s="1" t="n">
        <v>45662</v>
      </c>
      <c r="D177" t="inlineStr">
        <is>
          <t>KRONOBERGS LÄN</t>
        </is>
      </c>
      <c r="E177" t="inlineStr">
        <is>
          <t>UPPVIDINGE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43771-2019</t>
        </is>
      </c>
      <c r="B178" s="1" t="n">
        <v>43707</v>
      </c>
      <c r="C178" s="1" t="n">
        <v>45662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43746-2019</t>
        </is>
      </c>
      <c r="B179" s="1" t="n">
        <v>43707</v>
      </c>
      <c r="C179" s="1" t="n">
        <v>45662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43747-2019</t>
        </is>
      </c>
      <c r="B180" s="1" t="n">
        <v>43707</v>
      </c>
      <c r="C180" s="1" t="n">
        <v>45662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45406-2019</t>
        </is>
      </c>
      <c r="B181" s="1" t="n">
        <v>43710</v>
      </c>
      <c r="C181" s="1" t="n">
        <v>45662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45626-2019</t>
        </is>
      </c>
      <c r="B182" s="1" t="n">
        <v>43711</v>
      </c>
      <c r="C182" s="1" t="n">
        <v>45662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44779-2019</t>
        </is>
      </c>
      <c r="B183" s="1" t="n">
        <v>43712</v>
      </c>
      <c r="C183" s="1" t="n">
        <v>45662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45164-2019</t>
        </is>
      </c>
      <c r="B184" s="1" t="n">
        <v>43713</v>
      </c>
      <c r="C184" s="1" t="n">
        <v>45662</v>
      </c>
      <c r="D184" t="inlineStr">
        <is>
          <t>KRONOBERGS LÄN</t>
        </is>
      </c>
      <c r="E184" t="inlineStr">
        <is>
          <t>UPPVIDINGE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47475-2019</t>
        </is>
      </c>
      <c r="B185" s="1" t="n">
        <v>43724</v>
      </c>
      <c r="C185" s="1" t="n">
        <v>45662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47491-2019</t>
        </is>
      </c>
      <c r="B186" s="1" t="n">
        <v>43724</v>
      </c>
      <c r="C186" s="1" t="n">
        <v>45662</v>
      </c>
      <c r="D186" t="inlineStr">
        <is>
          <t>KRONOBERGS LÄN</t>
        </is>
      </c>
      <c r="E186" t="inlineStr">
        <is>
          <t>UPPVIDINGE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47946-2019</t>
        </is>
      </c>
      <c r="B187" s="1" t="n">
        <v>43725</v>
      </c>
      <c r="C187" s="1" t="n">
        <v>45662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47865-2019</t>
        </is>
      </c>
      <c r="B188" s="1" t="n">
        <v>43725</v>
      </c>
      <c r="C188" s="1" t="n">
        <v>45662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48372-2019</t>
        </is>
      </c>
      <c r="B189" s="1" t="n">
        <v>43726</v>
      </c>
      <c r="C189" s="1" t="n">
        <v>45662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48371-2019</t>
        </is>
      </c>
      <c r="B190" s="1" t="n">
        <v>43726</v>
      </c>
      <c r="C190" s="1" t="n">
        <v>45662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48536-2019</t>
        </is>
      </c>
      <c r="B191" s="1" t="n">
        <v>43727</v>
      </c>
      <c r="C191" s="1" t="n">
        <v>45662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48820-2019</t>
        </is>
      </c>
      <c r="B192" s="1" t="n">
        <v>43728</v>
      </c>
      <c r="C192" s="1" t="n">
        <v>45662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49387-2019</t>
        </is>
      </c>
      <c r="B193" s="1" t="n">
        <v>43732</v>
      </c>
      <c r="C193" s="1" t="n">
        <v>45662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49393-2019</t>
        </is>
      </c>
      <c r="B194" s="1" t="n">
        <v>43732</v>
      </c>
      <c r="C194" s="1" t="n">
        <v>45662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49392-2019</t>
        </is>
      </c>
      <c r="B195" s="1" t="n">
        <v>43732</v>
      </c>
      <c r="C195" s="1" t="n">
        <v>45662</v>
      </c>
      <c r="D195" t="inlineStr">
        <is>
          <t>KRONOBERGS LÄN</t>
        </is>
      </c>
      <c r="E195" t="inlineStr">
        <is>
          <t>UPPVIDINGE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50494-2019</t>
        </is>
      </c>
      <c r="B196" s="1" t="n">
        <v>43735</v>
      </c>
      <c r="C196" s="1" t="n">
        <v>45662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50758-2019</t>
        </is>
      </c>
      <c r="B197" s="1" t="n">
        <v>43738</v>
      </c>
      <c r="C197" s="1" t="n">
        <v>45662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51504-2019</t>
        </is>
      </c>
      <c r="B198" s="1" t="n">
        <v>43740</v>
      </c>
      <c r="C198" s="1" t="n">
        <v>45662</v>
      </c>
      <c r="D198" t="inlineStr">
        <is>
          <t>KRONOBERGS LÄN</t>
        </is>
      </c>
      <c r="E198" t="inlineStr">
        <is>
          <t>UPPVIDINGE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53531-2019</t>
        </is>
      </c>
      <c r="B199" s="1" t="n">
        <v>43749</v>
      </c>
      <c r="C199" s="1" t="n">
        <v>45662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53686-2019</t>
        </is>
      </c>
      <c r="B200" s="1" t="n">
        <v>43749</v>
      </c>
      <c r="C200" s="1" t="n">
        <v>45662</v>
      </c>
      <c r="D200" t="inlineStr">
        <is>
          <t>KRONOBERGS LÄN</t>
        </is>
      </c>
      <c r="E200" t="inlineStr">
        <is>
          <t>UPPVIDINGE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54113-2019</t>
        </is>
      </c>
      <c r="B201" s="1" t="n">
        <v>43752</v>
      </c>
      <c r="C201" s="1" t="n">
        <v>45662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54657-2019</t>
        </is>
      </c>
      <c r="B202" s="1" t="n">
        <v>43754</v>
      </c>
      <c r="C202" s="1" t="n">
        <v>45662</v>
      </c>
      <c r="D202" t="inlineStr">
        <is>
          <t>KRONOBERGS LÄN</t>
        </is>
      </c>
      <c r="E202" t="inlineStr">
        <is>
          <t>UPPVIDINGE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55430-2019</t>
        </is>
      </c>
      <c r="B203" s="1" t="n">
        <v>43756</v>
      </c>
      <c r="C203" s="1" t="n">
        <v>45662</v>
      </c>
      <c r="D203" t="inlineStr">
        <is>
          <t>KRONOBERGS LÄN</t>
        </is>
      </c>
      <c r="E203" t="inlineStr">
        <is>
          <t>UPPVIDINGE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56396-2019</t>
        </is>
      </c>
      <c r="B204" s="1" t="n">
        <v>43756</v>
      </c>
      <c r="C204" s="1" t="n">
        <v>45662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55404-2019</t>
        </is>
      </c>
      <c r="B205" s="1" t="n">
        <v>43758</v>
      </c>
      <c r="C205" s="1" t="n">
        <v>45662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57106-2019</t>
        </is>
      </c>
      <c r="B206" s="1" t="n">
        <v>43766</v>
      </c>
      <c r="C206" s="1" t="n">
        <v>45662</v>
      </c>
      <c r="D206" t="inlineStr">
        <is>
          <t>KRONOBERGS LÄN</t>
        </is>
      </c>
      <c r="E206" t="inlineStr">
        <is>
          <t>UPPVIDINGE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57927-2019</t>
        </is>
      </c>
      <c r="B207" s="1" t="n">
        <v>43769</v>
      </c>
      <c r="C207" s="1" t="n">
        <v>45662</v>
      </c>
      <c r="D207" t="inlineStr">
        <is>
          <t>KRONOBERGS LÄN</t>
        </is>
      </c>
      <c r="E207" t="inlineStr">
        <is>
          <t>UPPVIDINGE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59513-2019</t>
        </is>
      </c>
      <c r="B208" s="1" t="n">
        <v>43776</v>
      </c>
      <c r="C208" s="1" t="n">
        <v>45662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61041-2019</t>
        </is>
      </c>
      <c r="B209" s="1" t="n">
        <v>43782</v>
      </c>
      <c r="C209" s="1" t="n">
        <v>45662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62658-2019</t>
        </is>
      </c>
      <c r="B210" s="1" t="n">
        <v>43789</v>
      </c>
      <c r="C210" s="1" t="n">
        <v>45662</v>
      </c>
      <c r="D210" t="inlineStr">
        <is>
          <t>KRONOBERGS LÄN</t>
        </is>
      </c>
      <c r="E210" t="inlineStr">
        <is>
          <t>UPPVIDINGE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63166-2019</t>
        </is>
      </c>
      <c r="B211" s="1" t="n">
        <v>43791</v>
      </c>
      <c r="C211" s="1" t="n">
        <v>45662</v>
      </c>
      <c r="D211" t="inlineStr">
        <is>
          <t>KRONOBERGS LÄN</t>
        </is>
      </c>
      <c r="E211" t="inlineStr">
        <is>
          <t>UPPVIDINGE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63171-2019</t>
        </is>
      </c>
      <c r="B212" s="1" t="n">
        <v>43791</v>
      </c>
      <c r="C212" s="1" t="n">
        <v>45662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64429-2019</t>
        </is>
      </c>
      <c r="B213" s="1" t="n">
        <v>43797</v>
      </c>
      <c r="C213" s="1" t="n">
        <v>45662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64427-2019</t>
        </is>
      </c>
      <c r="B214" s="1" t="n">
        <v>43797</v>
      </c>
      <c r="C214" s="1" t="n">
        <v>45662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65003-2019</t>
        </is>
      </c>
      <c r="B215" s="1" t="n">
        <v>43801</v>
      </c>
      <c r="C215" s="1" t="n">
        <v>45662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64936-2019</t>
        </is>
      </c>
      <c r="B216" s="1" t="n">
        <v>43801</v>
      </c>
      <c r="C216" s="1" t="n">
        <v>45662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65097-2019</t>
        </is>
      </c>
      <c r="B217" s="1" t="n">
        <v>43802</v>
      </c>
      <c r="C217" s="1" t="n">
        <v>45662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67093-2019</t>
        </is>
      </c>
      <c r="B218" s="1" t="n">
        <v>43811</v>
      </c>
      <c r="C218" s="1" t="n">
        <v>45662</v>
      </c>
      <c r="D218" t="inlineStr">
        <is>
          <t>KRONOBERGS LÄN</t>
        </is>
      </c>
      <c r="E218" t="inlineStr">
        <is>
          <t>UPPVIDINGE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1189-2020</t>
        </is>
      </c>
      <c r="B219" s="1" t="n">
        <v>43840</v>
      </c>
      <c r="C219" s="1" t="n">
        <v>45662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1520-2020</t>
        </is>
      </c>
      <c r="B220" s="1" t="n">
        <v>43843</v>
      </c>
      <c r="C220" s="1" t="n">
        <v>45662</v>
      </c>
      <c r="D220" t="inlineStr">
        <is>
          <t>KRONOBERGS LÄN</t>
        </is>
      </c>
      <c r="E220" t="inlineStr">
        <is>
          <t>UPPVIDINGE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1837-2020</t>
        </is>
      </c>
      <c r="B221" s="1" t="n">
        <v>43844</v>
      </c>
      <c r="C221" s="1" t="n">
        <v>45662</v>
      </c>
      <c r="D221" t="inlineStr">
        <is>
          <t>KRONOBERGS LÄN</t>
        </is>
      </c>
      <c r="E221" t="inlineStr">
        <is>
          <t>UPPVIDINGE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1749-2020</t>
        </is>
      </c>
      <c r="B222" s="1" t="n">
        <v>43844</v>
      </c>
      <c r="C222" s="1" t="n">
        <v>45662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2046-2020</t>
        </is>
      </c>
      <c r="B223" s="1" t="n">
        <v>43845</v>
      </c>
      <c r="C223" s="1" t="n">
        <v>45662</v>
      </c>
      <c r="D223" t="inlineStr">
        <is>
          <t>KRONOBERGS LÄN</t>
        </is>
      </c>
      <c r="E223" t="inlineStr">
        <is>
          <t>UPPVIDINGE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2094-2020</t>
        </is>
      </c>
      <c r="B224" s="1" t="n">
        <v>43845</v>
      </c>
      <c r="C224" s="1" t="n">
        <v>45662</v>
      </c>
      <c r="D224" t="inlineStr">
        <is>
          <t>KRONOBERGS LÄN</t>
        </is>
      </c>
      <c r="E224" t="inlineStr">
        <is>
          <t>UPPVIDINGE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2271-2020</t>
        </is>
      </c>
      <c r="B225" s="1" t="n">
        <v>43846</v>
      </c>
      <c r="C225" s="1" t="n">
        <v>45662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3821-2020</t>
        </is>
      </c>
      <c r="B226" s="1" t="n">
        <v>43854</v>
      </c>
      <c r="C226" s="1" t="n">
        <v>45662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3819-2020</t>
        </is>
      </c>
      <c r="B227" s="1" t="n">
        <v>43854</v>
      </c>
      <c r="C227" s="1" t="n">
        <v>45662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5684-2020</t>
        </is>
      </c>
      <c r="B228" s="1" t="n">
        <v>43861</v>
      </c>
      <c r="C228" s="1" t="n">
        <v>45662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7234-2020</t>
        </is>
      </c>
      <c r="B229" s="1" t="n">
        <v>43871</v>
      </c>
      <c r="C229" s="1" t="n">
        <v>45662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7236-2020</t>
        </is>
      </c>
      <c r="B230" s="1" t="n">
        <v>43871</v>
      </c>
      <c r="C230" s="1" t="n">
        <v>45662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8415-2020</t>
        </is>
      </c>
      <c r="B231" s="1" t="n">
        <v>43875</v>
      </c>
      <c r="C231" s="1" t="n">
        <v>45662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9344-2020</t>
        </is>
      </c>
      <c r="B232" s="1" t="n">
        <v>43880</v>
      </c>
      <c r="C232" s="1" t="n">
        <v>45662</v>
      </c>
      <c r="D232" t="inlineStr">
        <is>
          <t>KRONOBERGS LÄN</t>
        </is>
      </c>
      <c r="E232" t="inlineStr">
        <is>
          <t>UPPVIDINGE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9339-2020</t>
        </is>
      </c>
      <c r="B233" s="1" t="n">
        <v>43880</v>
      </c>
      <c r="C233" s="1" t="n">
        <v>45662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9347-2020</t>
        </is>
      </c>
      <c r="B234" s="1" t="n">
        <v>43880</v>
      </c>
      <c r="C234" s="1" t="n">
        <v>45662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9340-2020</t>
        </is>
      </c>
      <c r="B235" s="1" t="n">
        <v>43880</v>
      </c>
      <c r="C235" s="1" t="n">
        <v>45662</v>
      </c>
      <c r="D235" t="inlineStr">
        <is>
          <t>KRONOBERGS LÄN</t>
        </is>
      </c>
      <c r="E235" t="inlineStr">
        <is>
          <t>UPPVIDINGE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10278-2020</t>
        </is>
      </c>
      <c r="B236" s="1" t="n">
        <v>43885</v>
      </c>
      <c r="C236" s="1" t="n">
        <v>45662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11046-2020</t>
        </is>
      </c>
      <c r="B237" s="1" t="n">
        <v>43885</v>
      </c>
      <c r="C237" s="1" t="n">
        <v>45662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10178-2020</t>
        </is>
      </c>
      <c r="B238" s="1" t="n">
        <v>43887</v>
      </c>
      <c r="C238" s="1" t="n">
        <v>45662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10774-2020</t>
        </is>
      </c>
      <c r="B239" s="1" t="n">
        <v>43888</v>
      </c>
      <c r="C239" s="1" t="n">
        <v>45662</v>
      </c>
      <c r="D239" t="inlineStr">
        <is>
          <t>KRONOBERGS LÄN</t>
        </is>
      </c>
      <c r="E239" t="inlineStr">
        <is>
          <t>UPPVIDINGE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10775-2020</t>
        </is>
      </c>
      <c r="B240" s="1" t="n">
        <v>43888</v>
      </c>
      <c r="C240" s="1" t="n">
        <v>45662</v>
      </c>
      <c r="D240" t="inlineStr">
        <is>
          <t>KRONOBERGS LÄN</t>
        </is>
      </c>
      <c r="E240" t="inlineStr">
        <is>
          <t>UPPVIDINGE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11123-2020</t>
        </is>
      </c>
      <c r="B241" s="1" t="n">
        <v>43889</v>
      </c>
      <c r="C241" s="1" t="n">
        <v>45662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12004-2020</t>
        </is>
      </c>
      <c r="B242" s="1" t="n">
        <v>43894</v>
      </c>
      <c r="C242" s="1" t="n">
        <v>45662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12647-2020</t>
        </is>
      </c>
      <c r="B243" s="1" t="n">
        <v>43896</v>
      </c>
      <c r="C243" s="1" t="n">
        <v>45662</v>
      </c>
      <c r="D243" t="inlineStr">
        <is>
          <t>KRONOBERGS LÄN</t>
        </is>
      </c>
      <c r="E243" t="inlineStr">
        <is>
          <t>UPPVIDINGE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45662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45662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45662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45662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45662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45662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45662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45662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45662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45662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45662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45662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45662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45662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45662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45662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45662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45662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45662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45662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45662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45662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45662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45662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45662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45662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45662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45662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45662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45662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45662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45662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45662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45662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45662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45662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45662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45662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45662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45662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45662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45662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45662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45662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45662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45662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45662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45662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45662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45662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45662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45662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45662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45662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45662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45662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45662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45662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45662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45662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45662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45662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45662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45662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45662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45662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45662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45662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45662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45662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45662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45662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45662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45662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45662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45662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45662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45662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45662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45662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45662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45662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45662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45662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45662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45662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45662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45662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45662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45662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45662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45662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45662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45662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45662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45662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45662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45662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45662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45662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45662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45662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45662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45662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45662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45662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45662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45662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45662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45662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45662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45662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45662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45662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45662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45662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45662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45662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45662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45662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45662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45662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45662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45662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45662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45662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45662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45662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45662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45662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45662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45662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45662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45662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45662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45662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45662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45662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45662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45662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45662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45662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45662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45662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45662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45662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45662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45662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45662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45662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45662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45662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45662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45662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45662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45662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45662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45662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45662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45662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45662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45662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45662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45662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45662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45662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45662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45662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45662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45662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45662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45662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45662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45662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45662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45662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45662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45662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45662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45662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45662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45662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45662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45662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45662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45662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45662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45662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45662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45662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45662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45662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45662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45662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45662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45662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45662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45662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45662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45662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45662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45662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45662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45662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45662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45662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45662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45662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45662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45662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45662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45662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45662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45662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45662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45662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45662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45662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45662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45662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45662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45662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45662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45662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45662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45662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45662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45662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45662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45662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45662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45662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45662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45662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45662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45662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45662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45662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45662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45662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45662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45662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45662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45662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45662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45662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45662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45662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45662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45662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45662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45662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45662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45662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45662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45662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45662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45662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45662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45662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45662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45662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45662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45662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45662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45662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45662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45662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45662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45662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45662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45662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45662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45662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45662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45662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45662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45662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45662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45662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45662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45662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45662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45662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45662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45662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45662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45662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45662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45662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45662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45662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45662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45662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45662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45662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45662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45662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45662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45662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45662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45662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45662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45662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45662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45662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45662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45662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45662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45662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45662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45662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45662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45662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45662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45662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45662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45662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45662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45662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45662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45662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45662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45662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45662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45662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45662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45662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45662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45662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45662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45662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45662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45662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45662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45662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45662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45662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45662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45662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45662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45662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45662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45662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45662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45662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45662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45662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45662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45662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45662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45662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45662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45662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45662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45662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45662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45662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45662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45662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45662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45662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45662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45662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45662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45662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45662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45662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45662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45662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45662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45662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45662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45662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45662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45662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45662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45662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45662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45662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45662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45662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45662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45662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45662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45662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45662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45662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45662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45662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45662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45662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45662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45662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45662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45662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45662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45662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45662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45662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45662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45662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45662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45662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45662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45662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45662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45662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45662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45662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45662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45662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45662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45662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45662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45662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45662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45662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45662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45662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45662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45662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45662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45662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45662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45662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45662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45662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45662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45662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45662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45662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45662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45662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45662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45662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45662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45662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45662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45662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45662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45662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45662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45662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45662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45662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45662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45662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45662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45662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45662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45662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45662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45662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45662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45662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45662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45662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45662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45662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45662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45662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45662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45662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45662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45662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45662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45662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45662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45662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45662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45662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45662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45662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45662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45662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45662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45662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45662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45662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45662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45662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45662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45662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45662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45662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45662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45662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45662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45662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45662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45662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45662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45662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45662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45662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45662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45662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45662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45662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45662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45662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45662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45662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45662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45662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45662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45662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45662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45662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45662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45662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45662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45662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45662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45662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45662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45662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45662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45662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45662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45662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45662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45662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45662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45662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45662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45662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45662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45662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45662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45662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45662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45662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45662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45662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45662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45662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45662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45662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45662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45662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45662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45662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45662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45662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45662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45662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45662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45662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45662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45662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45662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45662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45662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45662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45662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45662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45662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45662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45662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45662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45662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45662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45662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45662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45662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45662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45662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45662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45662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45662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45662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45662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45662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45662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45662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45662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45662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45662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45662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45662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45662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45662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45662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45662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45662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45662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45662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45662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45662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45662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45662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45662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45662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45662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45662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45662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45662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45662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45662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45662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45662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45662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45662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45662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45662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45662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45662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45662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45662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45662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45662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45662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45662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45662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45662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45662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45662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45662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45662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45662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45662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45662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45662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45662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45662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45662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45662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45662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45662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45662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45662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45662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45662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45662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45662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45662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45662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45662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45662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45662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45662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45662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45662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45662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45662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45662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45662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45662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45662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45662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45662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45662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45662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45662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45662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45662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45662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45662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45662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45662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45662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45662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45662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45662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45662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45662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45662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45662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45662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45662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45662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45662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45662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45662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45662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45662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45662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45662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45662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45662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45662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45662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45662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45662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45662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45662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45662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45662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45662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45662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45662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45662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45662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45662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45662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45662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45662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45662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45662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45662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45662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45662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45662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45662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45662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45662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45662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45662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45662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45662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45662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45662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45662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45662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45662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45662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45662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45662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45662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45662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45662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45662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45662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45662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45662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45662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45662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45662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45662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45662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45662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45662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45662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45662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45662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45662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45662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45662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45662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45662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45662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45662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45662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45662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45662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45662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45662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45662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45662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45662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45662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45662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45662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45662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45662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45662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45662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45662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45662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45662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45662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45662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45662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45662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45662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45662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45662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45662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45662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45662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45662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45662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45662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45662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45662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45662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45662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45662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45662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45662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45662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45662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45662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45662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45662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45662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45662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45662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45662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45662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45662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45662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45662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45662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45662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45662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45662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45662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45662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45662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45662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45662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45662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45662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45662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45662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45662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45662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45662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45662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45662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45662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45662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45662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45662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45662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45662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45662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45662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45662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45662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45662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45662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45662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45662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45662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45662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45662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45662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45662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45662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45662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45662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45662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45662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45662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45662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45662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45662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45662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45662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45662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45662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45662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45662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45662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45662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45662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45662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45662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45662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45662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45662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45662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45662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45662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45662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45662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45662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45662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45662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45662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45662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45662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45662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45662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45662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45662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45662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45662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45662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45662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45662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45662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45662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45662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45662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45662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45662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45662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45662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45662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45662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45662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45662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45662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45662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45662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45662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45662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45662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45662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45662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45662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45662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45662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45662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45662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45662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45662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45662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45662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45662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45662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45662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45662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45662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45662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45662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45662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45662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45662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45662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45662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45662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45662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45662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45662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45662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45662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45662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45662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45662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45662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45662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45662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45662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45662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45662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45662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45662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45662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45662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45662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45662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45662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45662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45662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45662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45662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45662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45662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45662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45662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45662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45662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45662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45662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45662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45662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45662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45662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45662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45662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45662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45662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45662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45662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45662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45662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45662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45662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45662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45662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45662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45662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45662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45662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45662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45662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45662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45662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45662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45662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45662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45662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45662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45662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45662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45662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45662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45662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45662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45662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45662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45662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45662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45662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45662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45662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45662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45662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45662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45662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45662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45662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45662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45662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45662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45662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45662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45662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45662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45662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45662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45662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45662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45662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45662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45662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45662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45662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45662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45662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45662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45662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45662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45662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45662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45662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45662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45662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45662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45662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45662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45662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45662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45662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45662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45662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45662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45662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45662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45662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45662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45662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45662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45662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45662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45662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45662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45662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45662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45662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45662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45662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45662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45662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45662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45662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45662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45662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45662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45662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45662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45662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45662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45662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45662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45662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45662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45662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45662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45662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45662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45662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45662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45662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45662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45662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45662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45662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45662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45662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45662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45662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45662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45662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45662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45662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45662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45662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45662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45662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45662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45662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45662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45662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45662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45662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45662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45662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45662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45662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45662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45662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45662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45662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45662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45662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45662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45662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45662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45662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45662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45662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45662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45662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45662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45662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45662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45662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45662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45662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45662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45662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45662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45662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45662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45662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45662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45662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45662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45662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45662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45662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45662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45662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45662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45662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45662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45662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45662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45662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45662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45662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45662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45662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45662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45662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45662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45662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45662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45662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45662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45662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45662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59242-2024</t>
        </is>
      </c>
      <c r="B1393" s="1" t="n">
        <v>45636</v>
      </c>
      <c r="C1393" s="1" t="n">
        <v>45662</v>
      </c>
      <c r="D1393" t="inlineStr">
        <is>
          <t>KRONOBERGS LÄN</t>
        </is>
      </c>
      <c r="E1393" t="inlineStr">
        <is>
          <t>UPPVIDINGE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59072-2024</t>
        </is>
      </c>
      <c r="B1394" s="1" t="n">
        <v>45637</v>
      </c>
      <c r="C1394" s="1" t="n">
        <v>45662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45662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59790-2024</t>
        </is>
      </c>
      <c r="B1396" s="1" t="n">
        <v>45639</v>
      </c>
      <c r="C1396" s="1" t="n">
        <v>45662</v>
      </c>
      <c r="D1396" t="inlineStr">
        <is>
          <t>KRONOBERGS LÄN</t>
        </is>
      </c>
      <c r="E1396" t="inlineStr">
        <is>
          <t>UPPVIDINGE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59803-2024</t>
        </is>
      </c>
      <c r="B1397" s="1" t="n">
        <v>45639</v>
      </c>
      <c r="C1397" s="1" t="n">
        <v>45662</v>
      </c>
      <c r="D1397" t="inlineStr">
        <is>
          <t>KRONOBERGS LÄN</t>
        </is>
      </c>
      <c r="E1397" t="inlineStr">
        <is>
          <t>UPPVIDINGE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45662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60041-2024</t>
        </is>
      </c>
      <c r="B1399" s="1" t="n">
        <v>45642</v>
      </c>
      <c r="C1399" s="1" t="n">
        <v>45662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60038-2024</t>
        </is>
      </c>
      <c r="B1400" s="1" t="n">
        <v>45642</v>
      </c>
      <c r="C1400" s="1" t="n">
        <v>45662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60043-2024</t>
        </is>
      </c>
      <c r="B1401" s="1" t="n">
        <v>45642</v>
      </c>
      <c r="C1401" s="1" t="n">
        <v>45662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45662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45662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45662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60599-2024</t>
        </is>
      </c>
      <c r="B1405" s="1" t="n">
        <v>45644</v>
      </c>
      <c r="C1405" s="1" t="n">
        <v>45662</v>
      </c>
      <c r="D1405" t="inlineStr">
        <is>
          <t>KRONOBERGS LÄN</t>
        </is>
      </c>
      <c r="E1405" t="inlineStr">
        <is>
          <t>UPPVIDINGE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60586-2024</t>
        </is>
      </c>
      <c r="B1406" s="1" t="n">
        <v>45644</v>
      </c>
      <c r="C1406" s="1" t="n">
        <v>45662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60593-2024</t>
        </is>
      </c>
      <c r="B1407" s="1" t="n">
        <v>45644</v>
      </c>
      <c r="C1407" s="1" t="n">
        <v>45662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45662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45662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45662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45662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45662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45662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>
      <c r="A1414" t="inlineStr">
        <is>
          <t>A 350-2025</t>
        </is>
      </c>
      <c r="B1414" s="1" t="n">
        <v>45659</v>
      </c>
      <c r="C1414" s="1" t="n">
        <v>45662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2025-01-05T15:53:44Z</dcterms:created>
  <dcterms:modified xmlns:dcterms="http://purl.org/dc/terms/" xmlns:xsi="http://www.w3.org/2001/XMLSchema-instance" xsi:type="dcterms:W3CDTF">2025-01-05T15:53:45Z</dcterms:modified>
</cp:coreProperties>
</file>