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45875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45875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45875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45875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45875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45875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45875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45875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45875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45875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45875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45875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45875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45875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45875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45875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45875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45875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45875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45875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45875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45875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45875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45875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45875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45875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45875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45875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45875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45875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45875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45875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45875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45875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45875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45875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45875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45875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45875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45875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45875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45875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45875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45875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45875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45875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45875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45875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45875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45875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45875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45875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45875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45875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45875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45875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45875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45875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45875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45875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45875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45875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45875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45875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45875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45875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45875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45875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45875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45875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45875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45875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45875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45875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45875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45875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45875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45875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45875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45875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45875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45875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45875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45875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45875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45875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45875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45875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45875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45875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45875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45875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45875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45875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45875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45875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45875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45875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45875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45875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45875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45875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45875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45875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45875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45875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45875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45875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45875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45875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45875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45875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45875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45875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45875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45875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45875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45875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45875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45875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45875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45875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45875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45875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45875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45875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45875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45875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45875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45875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45875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45875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45875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45875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45875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45875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45875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45875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45875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45875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45875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45875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45875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45875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45875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45875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45875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45875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45875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45875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45875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45875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45875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45875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45875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45875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45875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45875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45875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45875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45875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45875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45875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45875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45875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45875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45875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45875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45875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45875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45875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45875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45875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45875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45875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45875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45875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45875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45875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45875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45875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45875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45875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45875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45875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45875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45875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45875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45875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45875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45875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45875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45875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45875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45875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45875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45875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45875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45875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45875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45875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45875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45875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45875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45875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45875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45875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45875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45875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45875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45875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45875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45875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45875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45875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45875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45875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45875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45875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45875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45875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45875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45875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45875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45875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45875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45875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45875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45875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45875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45875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45875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45875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45875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45875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45875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45875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45875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45875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45875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45875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45875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45875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45875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45875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45875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45875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45875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45875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45875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45875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45875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45875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45875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45875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45875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45875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45875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45875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45875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45875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45875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45875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45875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45875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45875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45875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45875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45875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45875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45875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45875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45875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45875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45875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45875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45875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45875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45875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45875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45875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45875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45875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45875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45875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45875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45875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45875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45875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45875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45875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45875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45875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45875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45875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45875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45875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45875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45875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45875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45875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45875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45875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45875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45875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45875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45875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45875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45875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45875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45875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45875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45875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45875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45875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45875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45875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45875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45875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45875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45875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45875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45875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45875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45875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45875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45875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45875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45875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45875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45875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45875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45875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45875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45875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45875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45875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45875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45875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45875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45875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45875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45875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45875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45875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45875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45875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45875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45875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45875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45875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45875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45875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45875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45875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45875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45875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45875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45875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45875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45875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45875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45875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45875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45875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45875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45875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45875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45875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45875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45875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45875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45875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45875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45875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45875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45875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45875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45875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45875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45875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45875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45875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45875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45875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45875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45875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45875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45875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45875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45875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45875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45875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45875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45875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45875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45875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45875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45875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45875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45875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45875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45875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45875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45875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45875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45875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45875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45875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45875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45875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45875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45875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45875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45875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45875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45875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45875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45875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45875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45875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45875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45875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45875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45875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45875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45875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45875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45875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45875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45875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45875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45875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45875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45875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45875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45875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45875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45875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45875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45875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45875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45875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45875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45875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45875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45875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45875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45875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45875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45875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45875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45875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45875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45875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45875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45875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45875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45875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45875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45875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45875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45875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45875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45875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45875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45875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45875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45875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45875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45875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45875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45875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45875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45875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45875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45875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45875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45875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45875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45875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45875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45875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45875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45875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45875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45875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45875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45875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45875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45875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45875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45875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45875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45875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45875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45875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45875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45875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45875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45875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45875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45875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45875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45875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45875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45875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45875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45875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45875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45875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45875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45875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45875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45875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45875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45875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45875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45875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45875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45875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45875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45875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45875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45875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45875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45875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45875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45875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45875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45875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45875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45875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45875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45875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45875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45875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45875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45875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45875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45875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45875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45875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45875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45875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45875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45875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45875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45875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45875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45875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45875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45875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45875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45875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45875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45875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45875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45875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45875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45875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45875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45875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45875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45875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45875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45875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45875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45875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45875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45875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45875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45875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45875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45875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45875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45875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45875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45875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45875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45875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45875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45875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45875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45875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45875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45875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45875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45875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45875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45875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45875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45875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45875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45875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45875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45875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45875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45875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45875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45875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45875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45875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45875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45875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45875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45875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45875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45875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45875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45875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45875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45875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45875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45875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45875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45875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45875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45875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45875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45875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45875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45875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45875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45875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45875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45875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45875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45875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45875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45875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45875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45875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45875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45875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45875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45875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45875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45875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45875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45875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45875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45875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45875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45875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45875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45875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45875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45875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45875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45875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45875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45875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45875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45875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45875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45875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45875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45875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45875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45875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45875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45875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45875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45875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45875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45875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45875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45875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45875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45875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45875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45875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45875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45875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45875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45875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45875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45875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45875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45875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45875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45875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45875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45875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45875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45875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45875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45875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45875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45875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45875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45875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45875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45875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45875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45875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45875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45875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45875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45875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45875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45875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45875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45875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45875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45875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45875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45875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45875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45875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45875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45875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45875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45875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45875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45875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45875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45875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45875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45875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45875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45875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45875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45875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45875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45875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45875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45875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45875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45875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45875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45875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45875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45875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45875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45875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45875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45875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45875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45875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45875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45875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45875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45875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45875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45875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45875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45875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45875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45875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45875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45875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45875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45875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45875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45875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45875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45875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45875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45875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45875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45875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45875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45875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45875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45875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45875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45875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45875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45875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45875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45875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45875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45875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45875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45875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45875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45875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45875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45875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45875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45875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45875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45875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45875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45875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45875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45875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45875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45875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45875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45875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45875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45875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45875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45875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45875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45875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45875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45875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45875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45875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45875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45875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45875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45875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45875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45875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45875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45875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45875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45875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45875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45875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45875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45875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45875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45875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45875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45875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45875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45875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45875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45875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45875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45875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45875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45875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45875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45875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45875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45875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45875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45875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45875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45875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45875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45875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45875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45875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45875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45875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45875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45875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45875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45875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45875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45875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45875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45875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45875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45875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45875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45875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45875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45875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45875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45875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45875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45875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45875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45875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45875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45875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45875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45875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45875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45875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45875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45875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45875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45875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45875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45875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45875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45875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45875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45875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45875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45875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45875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45875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45875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45875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45875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45875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45875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45875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45875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45875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45875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45875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45875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45875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45875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45875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45875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45875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45875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45875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45875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45875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45875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45875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45875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45875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45875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45875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45875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45875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45875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45875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45875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45875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45875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45875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45875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45875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45875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45875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45875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45875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45875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45875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45875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45875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45875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45875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45875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45875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45875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45875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45875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45875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45875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45875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45875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45875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45875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45875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45875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45875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45875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45875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45875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45875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45875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45875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45875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45875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45875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45875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45875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45875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45875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45875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45875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45875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45875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45875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45875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45875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45875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45875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45875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45875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45875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45875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45875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45875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45875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45875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45875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45875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45875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45875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45875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45875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45875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45875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45875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45875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45875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45875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45875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45875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45875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45875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45875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45875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45875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45875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45875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45875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45875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45875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45875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45875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45875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45875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45875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45875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45875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45875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45875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45875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45875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45875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45875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45875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45875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45875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45875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45875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45875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45875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45875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45875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45875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45875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45875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45875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45875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45875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45875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45875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45875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45875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45875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45875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45875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45875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45875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45875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45875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45875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45875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45875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45875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45875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45875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45875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45875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45875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45875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45875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45875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45875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45875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45875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45875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45875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45875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45875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45875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45875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45875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45875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45875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45875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45875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45875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45875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45875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45875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45875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45875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45875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45875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45875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45875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45875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45875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45875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45875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45875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45875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45875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45875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45875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45875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45875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45875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45875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45875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45875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45875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45875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45875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45875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45875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45875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45875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45875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45875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45875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45875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45875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45875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45875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45875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45875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45875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45875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45875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45875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45875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45875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45875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45875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45875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45875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45875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45875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45875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45875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45875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45875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45875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45875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45875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45875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45875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45875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45875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45875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45875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45875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45875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45875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45875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45875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45875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45875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45875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45875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45875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45875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45875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45875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45875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45875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45875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45875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45875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45875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45875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45875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45875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45875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45875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45875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45875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45875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45875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45875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45875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45875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45875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45875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45875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45875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45875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45875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45875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45875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45875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45875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45875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45875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45875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45875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45875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45875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45875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45875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45875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45875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45875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45875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45875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45875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45875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45875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45875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45875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45875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45875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45875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45875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45875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45875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45875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45875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45875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45875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45875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45875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45875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45875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45875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45875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45875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45875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45875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45875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45875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45875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45875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45875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45875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45875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45875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45875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45875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45875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45875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45875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45875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45875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45875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45875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45875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45875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45875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45875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45875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45875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45875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45875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45875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45875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45875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45875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45875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45875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45875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45875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45875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45875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45875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45875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45875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45875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45875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45875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45875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45875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45875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45875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45875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45875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45875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45875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45875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45875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45875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45875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45875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45875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45875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45875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45875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45875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45875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45875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45875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45875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45875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45875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45875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45875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45875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45875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45875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45875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45875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45875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45875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45875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45875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45875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45875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45875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45875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45875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45875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45875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45875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45875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45875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45875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45875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45875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45875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45875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45875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45875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45875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45875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45875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45875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45875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45875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45875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45875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45875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45875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45875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45875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45875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45875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45875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45875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45875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45875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45875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45875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45875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45875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45875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45875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45875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45875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45875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45875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45875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45875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45875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45875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45875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45875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45875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45875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45875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45875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45875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45875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45875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45875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45875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45875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45875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45875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45875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45875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45875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45875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45875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45875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45875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45875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45875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45875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45875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45875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45875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45875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45875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45875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45875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45875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45875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45875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45875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45875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45875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45875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45875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45875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45875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45875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45875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45875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45875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45875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45875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45875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45875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45875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45875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45875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45875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45875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45875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45875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45875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45875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45875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45875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45875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45875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45875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45875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45875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45875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45875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45875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45875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45875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45875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45875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45875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45875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45875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45875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45875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45875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45875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45875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45875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45875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45875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45875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45875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45875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45875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45875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45875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45875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45875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45875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45875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45875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45875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45875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45875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45875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45875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45875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45875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45875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45875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45875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45875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45875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45875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45875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45875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45875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45875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45875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45875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45875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45875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45875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45875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45875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45875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45875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45875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45875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45875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45875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45875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45875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45875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45875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45875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45875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45875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45875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45875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45875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45875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45875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45875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45875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45875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45875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45875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45875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45875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45875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45875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45875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45875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45875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45875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45875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45875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45875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45875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45875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45875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45875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45875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45875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45875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45875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45875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45875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45875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45875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45875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45875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45875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45875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45875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45875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45875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45875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45875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45875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45875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45875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45875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45875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45875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45875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45875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45875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45875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45875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45875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45875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45875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45875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45875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45875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45875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45875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45875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45875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45875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45875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45875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45875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45875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45875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45875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45875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45875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45875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45875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45875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45875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45875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45875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45875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45875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45875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45875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45875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45875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45875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45875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45875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45875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45875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45875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45875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45875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45875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45875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45875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45875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45875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45875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45875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45875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45875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45875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45875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45875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45875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45875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45875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45875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45875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45875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45875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45875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45875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45875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45875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45875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45875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45875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45875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45875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45875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45875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45875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45875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45875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45875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45875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45875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45875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45875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45875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45875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29643-2025</t>
        </is>
      </c>
      <c r="B1597" s="1" t="n">
        <v>45825</v>
      </c>
      <c r="C1597" s="1" t="n">
        <v>45875</v>
      </c>
      <c r="D1597" t="inlineStr">
        <is>
          <t>KRONOBERGS LÄN</t>
        </is>
      </c>
      <c r="E1597" t="inlineStr">
        <is>
          <t>UPPVIDINGE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45875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45875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29893-2025</t>
        </is>
      </c>
      <c r="B1600" s="1" t="n">
        <v>45826</v>
      </c>
      <c r="C1600" s="1" t="n">
        <v>45875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29989-2025</t>
        </is>
      </c>
      <c r="B1601" s="1" t="n">
        <v>45826</v>
      </c>
      <c r="C1601" s="1" t="n">
        <v>45875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30547-2025</t>
        </is>
      </c>
      <c r="B1602" s="1" t="n">
        <v>45831</v>
      </c>
      <c r="C1602" s="1" t="n">
        <v>45875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30545-2025</t>
        </is>
      </c>
      <c r="B1603" s="1" t="n">
        <v>45831</v>
      </c>
      <c r="C1603" s="1" t="n">
        <v>45875</v>
      </c>
      <c r="D1603" t="inlineStr">
        <is>
          <t>KRONOBERGS LÄN</t>
        </is>
      </c>
      <c r="E1603" t="inlineStr">
        <is>
          <t>UPPVIDINGE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30662-2025</t>
        </is>
      </c>
      <c r="B1604" s="1" t="n">
        <v>45831</v>
      </c>
      <c r="C1604" s="1" t="n">
        <v>45875</v>
      </c>
      <c r="D1604" t="inlineStr">
        <is>
          <t>KRONOBERGS LÄN</t>
        </is>
      </c>
      <c r="E1604" t="inlineStr">
        <is>
          <t>UPPVIDINGE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30815-2025</t>
        </is>
      </c>
      <c r="B1605" s="1" t="n">
        <v>45831</v>
      </c>
      <c r="C1605" s="1" t="n">
        <v>45875</v>
      </c>
      <c r="D1605" t="inlineStr">
        <is>
          <t>KRONOBERGS LÄN</t>
        </is>
      </c>
      <c r="E1605" t="inlineStr">
        <is>
          <t>UPPVIDINGE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30533-2025</t>
        </is>
      </c>
      <c r="B1606" s="1" t="n">
        <v>45831</v>
      </c>
      <c r="C1606" s="1" t="n">
        <v>45875</v>
      </c>
      <c r="D1606" t="inlineStr">
        <is>
          <t>KRONOBERGS LÄN</t>
        </is>
      </c>
      <c r="E1606" t="inlineStr">
        <is>
          <t>UPPVIDINGE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30745-2025</t>
        </is>
      </c>
      <c r="B1607" s="1" t="n">
        <v>45831</v>
      </c>
      <c r="C1607" s="1" t="n">
        <v>45875</v>
      </c>
      <c r="D1607" t="inlineStr">
        <is>
          <t>KRONOBERGS LÄN</t>
        </is>
      </c>
      <c r="E1607" t="inlineStr">
        <is>
          <t>UPPVIDINGE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45875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45875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45875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45875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45875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32650-2025</t>
        </is>
      </c>
      <c r="B1613" s="1" t="n">
        <v>45838</v>
      </c>
      <c r="C1613" s="1" t="n">
        <v>45875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45875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45875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32835-2025</t>
        </is>
      </c>
      <c r="B1616" s="1" t="n">
        <v>45839</v>
      </c>
      <c r="C1616" s="1" t="n">
        <v>45875</v>
      </c>
      <c r="D1616" t="inlineStr">
        <is>
          <t>KRONOBERGS LÄN</t>
        </is>
      </c>
      <c r="E1616" t="inlineStr">
        <is>
          <t>UPPVIDINGE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HYPERLINK("https://klasma.github.io/Logging_070760/knärot/A 32835-2025 karta knärot.png", "A 32835-2025")</f>
        <v/>
      </c>
      <c r="V1616">
        <f>HYPERLINK("https://klasma.github.io/Logging_070760/klagomål/A 32835-2025 FSC-klagomål.docx", "A 32835-2025")</f>
        <v/>
      </c>
      <c r="W1616">
        <f>HYPERLINK("https://klasma.github.io/Logging_070760/klagomålsmail/A 32835-2025 FSC-klagomål mail.docx", "A 32835-2025")</f>
        <v/>
      </c>
      <c r="X1616">
        <f>HYPERLINK("https://klasma.github.io/Logging_070760/tillsyn/A 32835-2025 tillsynsbegäran.docx", "A 32835-2025")</f>
        <v/>
      </c>
      <c r="Y1616">
        <f>HYPERLINK("https://klasma.github.io/Logging_070760/tillsynsmail/A 32835-2025 tillsynsbegäran mail.docx", "A 32835-2025")</f>
        <v/>
      </c>
    </row>
    <row r="1617" ht="15" customHeight="1">
      <c r="A1617" t="inlineStr">
        <is>
          <t>A 32881-2025</t>
        </is>
      </c>
      <c r="B1617" s="1" t="n">
        <v>45839</v>
      </c>
      <c r="C1617" s="1" t="n">
        <v>45875</v>
      </c>
      <c r="D1617" t="inlineStr">
        <is>
          <t>KRONOBERGS LÄN</t>
        </is>
      </c>
      <c r="E1617" t="inlineStr">
        <is>
          <t>UPPVIDINGE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32833-2025</t>
        </is>
      </c>
      <c r="B1618" s="1" t="n">
        <v>45839</v>
      </c>
      <c r="C1618" s="1" t="n">
        <v>45875</v>
      </c>
      <c r="D1618" t="inlineStr">
        <is>
          <t>KRONOBERGS LÄN</t>
        </is>
      </c>
      <c r="E1618" t="inlineStr">
        <is>
          <t>UPPVIDINGE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33100-2025</t>
        </is>
      </c>
      <c r="B1619" s="1" t="n">
        <v>45840</v>
      </c>
      <c r="C1619" s="1" t="n">
        <v>45875</v>
      </c>
      <c r="D1619" t="inlineStr">
        <is>
          <t>KRONOBERGS LÄN</t>
        </is>
      </c>
      <c r="E1619" t="inlineStr">
        <is>
          <t>UPPVIDINGE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33116-2025</t>
        </is>
      </c>
      <c r="B1620" s="1" t="n">
        <v>45840</v>
      </c>
      <c r="C1620" s="1" t="n">
        <v>45875</v>
      </c>
      <c r="D1620" t="inlineStr">
        <is>
          <t>KRONOBERGS LÄN</t>
        </is>
      </c>
      <c r="E1620" t="inlineStr">
        <is>
          <t>UPPVIDINGE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33252-2025</t>
        </is>
      </c>
      <c r="B1621" s="1" t="n">
        <v>45840</v>
      </c>
      <c r="C1621" s="1" t="n">
        <v>45875</v>
      </c>
      <c r="D1621" t="inlineStr">
        <is>
          <t>KRONOBERGS LÄN</t>
        </is>
      </c>
      <c r="E1621" t="inlineStr">
        <is>
          <t>UPPVIDINGE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45875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45875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33839-2025</t>
        </is>
      </c>
      <c r="B1624" s="1" t="n">
        <v>45842</v>
      </c>
      <c r="C1624" s="1" t="n">
        <v>45875</v>
      </c>
      <c r="D1624" t="inlineStr">
        <is>
          <t>KRONOBERGS LÄN</t>
        </is>
      </c>
      <c r="E1624" t="inlineStr">
        <is>
          <t>UPPVIDINGE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33876-2025</t>
        </is>
      </c>
      <c r="B1625" s="1" t="n">
        <v>45842</v>
      </c>
      <c r="C1625" s="1" t="n">
        <v>45875</v>
      </c>
      <c r="D1625" t="inlineStr">
        <is>
          <t>KRONOBERGS LÄN</t>
        </is>
      </c>
      <c r="E1625" t="inlineStr">
        <is>
          <t>UPPVIDINGE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33841-2025</t>
        </is>
      </c>
      <c r="B1626" s="1" t="n">
        <v>45842</v>
      </c>
      <c r="C1626" s="1" t="n">
        <v>45875</v>
      </c>
      <c r="D1626" t="inlineStr">
        <is>
          <t>KRONOBERGS LÄN</t>
        </is>
      </c>
      <c r="E1626" t="inlineStr">
        <is>
          <t>UPPVIDINGE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35348-2025</t>
        </is>
      </c>
      <c r="B1627" s="1" t="n">
        <v>45854</v>
      </c>
      <c r="C1627" s="1" t="n">
        <v>45875</v>
      </c>
      <c r="D1627" t="inlineStr">
        <is>
          <t>KRONOBERGS LÄN</t>
        </is>
      </c>
      <c r="E1627" t="inlineStr">
        <is>
          <t>UPPVIDINGE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35809-2025</t>
        </is>
      </c>
      <c r="B1628" s="1" t="n">
        <v>45861</v>
      </c>
      <c r="C1628" s="1" t="n">
        <v>45875</v>
      </c>
      <c r="D1628" t="inlineStr">
        <is>
          <t>KRONOBERGS LÄN</t>
        </is>
      </c>
      <c r="E1628" t="inlineStr">
        <is>
          <t>UPPVIDINGE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35813-2025</t>
        </is>
      </c>
      <c r="B1629" s="1" t="n">
        <v>45861</v>
      </c>
      <c r="C1629" s="1" t="n">
        <v>45875</v>
      </c>
      <c r="D1629" t="inlineStr">
        <is>
          <t>KRONOBERGS LÄN</t>
        </is>
      </c>
      <c r="E1629" t="inlineStr">
        <is>
          <t>UPPVIDINGE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36035-2025</t>
        </is>
      </c>
      <c r="B1630" s="1" t="n">
        <v>45865</v>
      </c>
      <c r="C1630" s="1" t="n">
        <v>45875</v>
      </c>
      <c r="D1630" t="inlineStr">
        <is>
          <t>KRONOBERGS LÄN</t>
        </is>
      </c>
      <c r="E1630" t="inlineStr">
        <is>
          <t>UPPVIDINGE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36036-2025</t>
        </is>
      </c>
      <c r="B1631" s="1" t="n">
        <v>45865</v>
      </c>
      <c r="C1631" s="1" t="n">
        <v>45875</v>
      </c>
      <c r="D1631" t="inlineStr">
        <is>
          <t>KRONOBERGS LÄN</t>
        </is>
      </c>
      <c r="E1631" t="inlineStr">
        <is>
          <t>UPPVIDINGE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36037-2025</t>
        </is>
      </c>
      <c r="B1632" s="1" t="n">
        <v>45865</v>
      </c>
      <c r="C1632" s="1" t="n">
        <v>45875</v>
      </c>
      <c r="D1632" t="inlineStr">
        <is>
          <t>KRONOBERGS LÄN</t>
        </is>
      </c>
      <c r="E1632" t="inlineStr">
        <is>
          <t>UPPVIDINGE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36441-2025</t>
        </is>
      </c>
      <c r="B1633" s="1" t="n">
        <v>45869</v>
      </c>
      <c r="C1633" s="1" t="n">
        <v>45875</v>
      </c>
      <c r="D1633" t="inlineStr">
        <is>
          <t>KRONOBERGS LÄN</t>
        </is>
      </c>
      <c r="E1633" t="inlineStr">
        <is>
          <t>UPPVIDINGE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36864-2025</t>
        </is>
      </c>
      <c r="B1634" s="1" t="n">
        <v>45873</v>
      </c>
      <c r="C1634" s="1" t="n">
        <v>45875</v>
      </c>
      <c r="D1634" t="inlineStr">
        <is>
          <t>KRONOBERGS LÄN</t>
        </is>
      </c>
      <c r="E1634" t="inlineStr">
        <is>
          <t>UPPVIDINGE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2025-08-06T20:05:39Z</dcterms:created>
  <dcterms:modified xmlns:dcterms="http://purl.org/dc/terms/" xmlns:xsi="http://www.w3.org/2001/XMLSchema-instance" xsi:type="dcterms:W3CDTF">2025-08-06T20:05:40Z</dcterms:modified>
</cp:coreProperties>
</file>