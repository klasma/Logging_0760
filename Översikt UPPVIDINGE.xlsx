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46218</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46218</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46218</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46218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46218</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46218</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46218</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46218</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46218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46218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46218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46218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46218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46218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46218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Y19">
        <f>HYPERLINK("https://klasma.github.io/Logging_0760/klagomål/A 60495-2025 FSC-klagomål.docx", "A 60495-2025")</f>
        <v/>
      </c>
      <c r="Z19">
        <f>HYPERLINK("https://klasma.github.io/Logging_0760/klagomålsmail/A 60495-2025 FSC-klagomål mail.docx", "A 60495-2025")</f>
        <v/>
      </c>
      <c r="AA19">
        <f>HYPERLINK("https://klasma.github.io/Logging_0760/tillsyn/A 60495-2025 tillsynsbegäran.docx", "A 60495-2025")</f>
        <v/>
      </c>
      <c r="AB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46218</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Y20">
        <f>HYPERLINK("https://klasma.github.io/Logging_0760/klagomål/S 4760-2021 FSC-klagomål.docx", "S 4760-2021")</f>
        <v/>
      </c>
      <c r="Z20">
        <f>HYPERLINK("https://klasma.github.io/Logging_0760/klagomålsmail/S 4760-2021 FSC-klagomål mail.docx", "S 4760-2021")</f>
        <v/>
      </c>
      <c r="AA20">
        <f>HYPERLINK("https://klasma.github.io/Logging_0760/tillsyn/S 4760-2021 tillsynsbegäran.docx", "S 4760-2021")</f>
        <v/>
      </c>
      <c r="AB20">
        <f>HYPERLINK("https://klasma.github.io/Logging_0760/tillsynsmail/S 4760-2021 tillsynsbegäran mail.docx", "S 4760-2021")</f>
        <v/>
      </c>
      <c r="AC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46218</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26451-2026</t>
        </is>
      </c>
      <c r="B22" t="inlineStr">
        <is>
          <t>avverkningsanmälan</t>
        </is>
      </c>
      <c r="C22" t="inlineStr">
        <is>
          <t>Föryngringsavverkning</t>
        </is>
      </c>
      <c r="D22" s="1" t="n">
        <v>46183</v>
      </c>
      <c r="E22" s="1" t="n">
        <v>46218</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s="2" t="inlineStr">
        <is>
          <t>Knärot
Fjällig taggsvamp s.str.
Gropticka
Orange taggsvamp
Skarp dropptaggsvamp
Grönpyrola</t>
        </is>
      </c>
      <c r="V22">
        <f>HYPERLINK("https://klasma.github.io/Logging_0760/artfynd/A 26451-2026 artfynd.xlsx", "A 26451-2026")</f>
        <v/>
      </c>
      <c r="W22">
        <f>HYPERLINK("https://klasma.github.io/Logging_0760/kartor/A 26451-2026 karta.png", "A 26451-2026")</f>
        <v/>
      </c>
      <c r="X22">
        <f>HYPERLINK("https://klasma.github.io/Logging_0760/knärot/A 26451-2026 karta knärot.png", "A 26451-2026")</f>
        <v/>
      </c>
      <c r="Y22">
        <f>HYPERLINK("https://klasma.github.io/Logging_0760/klagomål/A 26451-2026 FSC-klagomål.docx", "A 26451-2026")</f>
        <v/>
      </c>
      <c r="Z22">
        <f>HYPERLINK("https://klasma.github.io/Logging_0760/klagomålsmail/A 26451-2026 FSC-klagomål mail.docx", "A 26451-2026")</f>
        <v/>
      </c>
      <c r="AA22">
        <f>HYPERLINK("https://klasma.github.io/Logging_0760/tillsyn/A 26451-2026 tillsynsbegäran.docx", "A 26451-2026")</f>
        <v/>
      </c>
      <c r="AB22">
        <f>HYPERLINK("https://klasma.github.io/Logging_0760/tillsynsmail/A 26451-2026 tillsynsbegäran mail.docx", "A 26451-2026")</f>
        <v/>
      </c>
    </row>
    <row r="23" ht="15" customHeight="1">
      <c r="A23" t="inlineStr">
        <is>
          <t>A 8828-2026</t>
        </is>
      </c>
      <c r="B23" t="inlineStr">
        <is>
          <t>avverkningsanmälan</t>
        </is>
      </c>
      <c r="C23" t="inlineStr">
        <is>
          <t>Avverkning för att bevara och utveckla /försöksver</t>
        </is>
      </c>
      <c r="D23" s="1" t="n">
        <v>46066</v>
      </c>
      <c r="E23" s="1" t="n">
        <v>46218</v>
      </c>
      <c r="F23" t="inlineStr">
        <is>
          <t>KRONOBERGS LÄN</t>
        </is>
      </c>
      <c r="G23" t="inlineStr">
        <is>
          <t>UPPVIDINGE</t>
        </is>
      </c>
      <c r="I23" t="n">
        <v>4</v>
      </c>
      <c r="J23" t="n">
        <v>2</v>
      </c>
      <c r="K23" t="n">
        <v>2</v>
      </c>
      <c r="L23" t="n">
        <v>2</v>
      </c>
      <c r="M23" t="n">
        <v>0</v>
      </c>
      <c r="N23" t="n">
        <v>0</v>
      </c>
      <c r="O23" t="n">
        <v>0</v>
      </c>
      <c r="P23" t="n">
        <v>0</v>
      </c>
      <c r="Q23" t="n">
        <v>2</v>
      </c>
      <c r="R23" t="n">
        <v>0</v>
      </c>
      <c r="S23" t="n">
        <v>6</v>
      </c>
      <c r="T23" t="n">
        <v>7</v>
      </c>
      <c r="U23" s="2" t="inlineStr">
        <is>
          <t>Kattfotslav
Vedskivlav
Blåmossa
Bollvitmossa
Spillkråka
Revlummer</t>
        </is>
      </c>
      <c r="V23">
        <f>HYPERLINK("https://klasma.github.io/Logging_0760/artfynd/A 8828-2026 artfynd.xlsx", "A 8828-2026")</f>
        <v/>
      </c>
      <c r="W23">
        <f>HYPERLINK("https://klasma.github.io/Logging_0760/kartor/A 8828-2026 karta.png", "A 8828-2026")</f>
        <v/>
      </c>
      <c r="Y23">
        <f>HYPERLINK("https://klasma.github.io/Logging_0760/klagomål/A 8828-2026 FSC-klagomål.docx", "A 8828-2026")</f>
        <v/>
      </c>
      <c r="Z23">
        <f>HYPERLINK("https://klasma.github.io/Logging_0760/klagomålsmail/A 8828-2026 FSC-klagomål mail.docx", "A 8828-2026")</f>
        <v/>
      </c>
      <c r="AA23">
        <f>HYPERLINK("https://klasma.github.io/Logging_0760/tillsyn/A 8828-2026 tillsynsbegäran.docx", "A 8828-2026")</f>
        <v/>
      </c>
      <c r="AB23">
        <f>HYPERLINK("https://klasma.github.io/Logging_0760/tillsynsmail/A 8828-2026 tillsynsbegäran mail.docx", "A 8828-2026")</f>
        <v/>
      </c>
      <c r="AC23">
        <f>HYPERLINK("https://klasma.github.io/Logging_0760/fåglar/A 8828-2026 prioriterade fågelarter.docx", "A 8828-2026")</f>
        <v/>
      </c>
    </row>
    <row r="24" ht="15" customHeight="1">
      <c r="A24" t="inlineStr">
        <is>
          <t>A 10489-2024</t>
        </is>
      </c>
      <c r="B24" t="inlineStr">
        <is>
          <t>avverkningsanmälan</t>
        </is>
      </c>
      <c r="C24" t="inlineStr">
        <is>
          <t>Föryngringsavverkning</t>
        </is>
      </c>
      <c r="D24" s="1" t="n">
        <v>45366</v>
      </c>
      <c r="E24" s="1" t="n">
        <v>46218</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s="2" t="inlineStr">
        <is>
          <t>Aspgelélav
Lunglav
Bårdlav
Fällmossa
Blåsippa</t>
        </is>
      </c>
      <c r="V24">
        <f>HYPERLINK("https://klasma.github.io/Logging_0760/artfynd/A 10489-2024 artfynd.xlsx", "A 10489-2024")</f>
        <v/>
      </c>
      <c r="W24">
        <f>HYPERLINK("https://klasma.github.io/Logging_0760/kartor/A 10489-2024 karta.png", "A 10489-2024")</f>
        <v/>
      </c>
      <c r="Y24">
        <f>HYPERLINK("https://klasma.github.io/Logging_0760/klagomål/A 10489-2024 FSC-klagomål.docx", "A 10489-2024")</f>
        <v/>
      </c>
      <c r="Z24">
        <f>HYPERLINK("https://klasma.github.io/Logging_0760/klagomålsmail/A 10489-2024 FSC-klagomål mail.docx", "A 10489-2024")</f>
        <v/>
      </c>
      <c r="AA24">
        <f>HYPERLINK("https://klasma.github.io/Logging_0760/tillsyn/A 10489-2024 tillsynsbegäran.docx", "A 10489-2024")</f>
        <v/>
      </c>
      <c r="AB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46218</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s="2" t="inlineStr">
        <is>
          <t>Knärot
Korallrot
Stor revmossa
Spillkråka
Orre</t>
        </is>
      </c>
      <c r="V25">
        <f>HYPERLINK("https://klasma.github.io/Logging_0760/artfynd/A 2576-2024 artfynd.xlsx", "A 2576-2024")</f>
        <v/>
      </c>
      <c r="W25">
        <f>HYPERLINK("https://klasma.github.io/Logging_0760/kartor/A 2576-2024 karta.png", "A 2576-2024")</f>
        <v/>
      </c>
      <c r="X25">
        <f>HYPERLINK("https://klasma.github.io/Logging_0760/knärot/A 2576-2024 karta knärot.png", "A 2576-2024")</f>
        <v/>
      </c>
      <c r="Y25">
        <f>HYPERLINK("https://klasma.github.io/Logging_0760/klagomål/A 2576-2024 FSC-klagomål.docx", "A 2576-2024")</f>
        <v/>
      </c>
      <c r="Z25">
        <f>HYPERLINK("https://klasma.github.io/Logging_0760/klagomålsmail/A 2576-2024 FSC-klagomål mail.docx", "A 2576-2024")</f>
        <v/>
      </c>
      <c r="AA25">
        <f>HYPERLINK("https://klasma.github.io/Logging_0760/tillsyn/A 2576-2024 tillsynsbegäran.docx", "A 2576-2024")</f>
        <v/>
      </c>
      <c r="AB25">
        <f>HYPERLINK("https://klasma.github.io/Logging_0760/tillsynsmail/A 2576-2024 tillsynsbegäran mail.docx", "A 2576-2024")</f>
        <v/>
      </c>
      <c r="AC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46218</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2053-2023</t>
        </is>
      </c>
      <c r="B27" t="inlineStr">
        <is>
          <t>avverkningsanmälan</t>
        </is>
      </c>
      <c r="C27" t="inlineStr">
        <is>
          <t>Föryngringsavverkning</t>
        </is>
      </c>
      <c r="D27" s="1" t="n">
        <v>44939</v>
      </c>
      <c r="E27" s="1" t="n">
        <v>46218</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s="2" t="inlineStr">
        <is>
          <t>Järnsparv
Kungsfågel
Svartvit flugsnappare
Trana</t>
        </is>
      </c>
      <c r="V27">
        <f>HYPERLINK("https://klasma.github.io/Logging_0760/artfynd/A 2053-2023 artfynd.xlsx", "A 2053-2023")</f>
        <v/>
      </c>
      <c r="W27">
        <f>HYPERLINK("https://klasma.github.io/Logging_0760/kartor/A 2053-2023 karta.png", "A 2053-2023")</f>
        <v/>
      </c>
      <c r="Y27">
        <f>HYPERLINK("https://klasma.github.io/Logging_0760/klagomål/A 2053-2023 FSC-klagomål.docx", "A 2053-2023")</f>
        <v/>
      </c>
      <c r="Z27">
        <f>HYPERLINK("https://klasma.github.io/Logging_0760/klagomålsmail/A 2053-2023 FSC-klagomål mail.docx", "A 2053-2023")</f>
        <v/>
      </c>
      <c r="AA27">
        <f>HYPERLINK("https://klasma.github.io/Logging_0760/tillsyn/A 2053-2023 tillsynsbegäran.docx", "A 2053-2023")</f>
        <v/>
      </c>
      <c r="AB27">
        <f>HYPERLINK("https://klasma.github.io/Logging_0760/tillsynsmail/A 2053-2023 tillsynsbegäran mail.docx", "A 2053-2023")</f>
        <v/>
      </c>
      <c r="AC27">
        <f>HYPERLINK("https://klasma.github.io/Logging_0760/fåglar/A 2053-2023 prioriterade fågelarter.docx", "A 2053-2023")</f>
        <v/>
      </c>
    </row>
    <row r="28" ht="15" customHeight="1">
      <c r="A28" t="inlineStr">
        <is>
          <t>A 37528-2023</t>
        </is>
      </c>
      <c r="B28" t="inlineStr">
        <is>
          <t>avverkningsanmälan</t>
        </is>
      </c>
      <c r="C28" t="inlineStr">
        <is>
          <t>Föryngringsavverkning</t>
        </is>
      </c>
      <c r="D28" s="1" t="n">
        <v>45158</v>
      </c>
      <c r="E28" s="1" t="n">
        <v>46218</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s="2" t="inlineStr">
        <is>
          <t>Fjällig taggsvamp s.str.
Slåtterfibbla
Blomkålssvamp
Grönpyrola</t>
        </is>
      </c>
      <c r="V28">
        <f>HYPERLINK("https://klasma.github.io/Logging_0760/artfynd/A 37528-2023 artfynd.xlsx", "A 37528-2023")</f>
        <v/>
      </c>
      <c r="W28">
        <f>HYPERLINK("https://klasma.github.io/Logging_0760/kartor/A 37528-2023 karta.png", "A 37528-2023")</f>
        <v/>
      </c>
      <c r="Y28">
        <f>HYPERLINK("https://klasma.github.io/Logging_0760/klagomål/A 37528-2023 FSC-klagomål.docx", "A 37528-2023")</f>
        <v/>
      </c>
      <c r="Z28">
        <f>HYPERLINK("https://klasma.github.io/Logging_0760/klagomålsmail/A 37528-2023 FSC-klagomål mail.docx", "A 37528-2023")</f>
        <v/>
      </c>
      <c r="AA28">
        <f>HYPERLINK("https://klasma.github.io/Logging_0760/tillsyn/A 37528-2023 tillsynsbegäran.docx", "A 37528-2023")</f>
        <v/>
      </c>
      <c r="AB28">
        <f>HYPERLINK("https://klasma.github.io/Logging_0760/tillsynsmail/A 37528-2023 tillsynsbegäran mail.docx", "A 37528-2023")</f>
        <v/>
      </c>
    </row>
    <row r="29" ht="15" customHeight="1">
      <c r="A29" t="inlineStr">
        <is>
          <t>A 8829-2026</t>
        </is>
      </c>
      <c r="B29" t="inlineStr">
        <is>
          <t>avverkningsanmälan</t>
        </is>
      </c>
      <c r="C29" t="inlineStr">
        <is>
          <t>Avverkning för att bevara och utveckla /försöksver</t>
        </is>
      </c>
      <c r="D29" s="1" t="n">
        <v>46066</v>
      </c>
      <c r="E29" s="1" t="n">
        <v>46218</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s="2" t="inlineStr">
        <is>
          <t>Liten blekspik
Kornig nållav
Rostfläck
Revlummer</t>
        </is>
      </c>
      <c r="V29">
        <f>HYPERLINK("https://klasma.github.io/Logging_0760/artfynd/A 8829-2026 artfynd.xlsx", "A 8829-2026")</f>
        <v/>
      </c>
      <c r="W29">
        <f>HYPERLINK("https://klasma.github.io/Logging_0760/kartor/A 8829-2026 karta.png", "A 8829-2026")</f>
        <v/>
      </c>
      <c r="Y29">
        <f>HYPERLINK("https://klasma.github.io/Logging_0760/klagomål/A 8829-2026 FSC-klagomål.docx", "A 8829-2026")</f>
        <v/>
      </c>
      <c r="Z29">
        <f>HYPERLINK("https://klasma.github.io/Logging_0760/klagomålsmail/A 8829-2026 FSC-klagomål mail.docx", "A 8829-2026")</f>
        <v/>
      </c>
      <c r="AA29">
        <f>HYPERLINK("https://klasma.github.io/Logging_0760/tillsyn/A 8829-2026 tillsynsbegäran.docx", "A 8829-2026")</f>
        <v/>
      </c>
      <c r="AB29">
        <f>HYPERLINK("https://klasma.github.io/Logging_0760/tillsynsmail/A 8829-2026 tillsynsbegäran mail.docx", "A 8829-2026")</f>
        <v/>
      </c>
    </row>
    <row r="30" ht="15" customHeight="1">
      <c r="A30" t="inlineStr">
        <is>
          <t>A 51425-2024</t>
        </is>
      </c>
      <c r="B30" t="inlineStr">
        <is>
          <t>avverkningsanmälan</t>
        </is>
      </c>
      <c r="C30" t="inlineStr">
        <is>
          <t>Föryngringsavverkning</t>
        </is>
      </c>
      <c r="D30" s="1" t="n">
        <v>45604</v>
      </c>
      <c r="E30" s="1" t="n">
        <v>46218</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s="2" t="inlineStr">
        <is>
          <t>Rostfläck
Spillkråka
Tjäder</t>
        </is>
      </c>
      <c r="V30">
        <f>HYPERLINK("https://klasma.github.io/Logging_0760/artfynd/A 51425-2024 artfynd.xlsx", "A 51425-2024")</f>
        <v/>
      </c>
      <c r="W30">
        <f>HYPERLINK("https://klasma.github.io/Logging_0760/kartor/A 51425-2024 karta.png", "A 51425-2024")</f>
        <v/>
      </c>
      <c r="Y30">
        <f>HYPERLINK("https://klasma.github.io/Logging_0760/klagomål/A 51425-2024 FSC-klagomål.docx", "A 51425-2024")</f>
        <v/>
      </c>
      <c r="Z30">
        <f>HYPERLINK("https://klasma.github.io/Logging_0760/klagomålsmail/A 51425-2024 FSC-klagomål mail.docx", "A 51425-2024")</f>
        <v/>
      </c>
      <c r="AA30">
        <f>HYPERLINK("https://klasma.github.io/Logging_0760/tillsyn/A 51425-2024 tillsynsbegäran.docx", "A 51425-2024")</f>
        <v/>
      </c>
      <c r="AB30">
        <f>HYPERLINK("https://klasma.github.io/Logging_0760/tillsynsmail/A 51425-2024 tillsynsbegäran mail.docx", "A 51425-2024")</f>
        <v/>
      </c>
      <c r="AC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46218</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s="2" t="inlineStr">
        <is>
          <t>Knärot
Tallticka
Spillkråka</t>
        </is>
      </c>
      <c r="V31">
        <f>HYPERLINK("https://klasma.github.io/Logging_0760/artfynd/A 45777-2023 artfynd.xlsx", "A 45777-2023")</f>
        <v/>
      </c>
      <c r="W31">
        <f>HYPERLINK("https://klasma.github.io/Logging_0760/kartor/A 45777-2023 karta.png", "A 45777-2023")</f>
        <v/>
      </c>
      <c r="X31">
        <f>HYPERLINK("https://klasma.github.io/Logging_0760/knärot/A 45777-2023 karta knärot.png", "A 45777-2023")</f>
        <v/>
      </c>
      <c r="Y31">
        <f>HYPERLINK("https://klasma.github.io/Logging_0760/klagomål/A 45777-2023 FSC-klagomål.docx", "A 45777-2023")</f>
        <v/>
      </c>
      <c r="Z31">
        <f>HYPERLINK("https://klasma.github.io/Logging_0760/klagomålsmail/A 45777-2023 FSC-klagomål mail.docx", "A 45777-2023")</f>
        <v/>
      </c>
      <c r="AA31">
        <f>HYPERLINK("https://klasma.github.io/Logging_0760/tillsyn/A 45777-2023 tillsynsbegäran.docx", "A 45777-2023")</f>
        <v/>
      </c>
      <c r="AB31">
        <f>HYPERLINK("https://klasma.github.io/Logging_0760/tillsynsmail/A 45777-2023 tillsynsbegäran mail.docx", "A 45777-2023")</f>
        <v/>
      </c>
      <c r="AC31">
        <f>HYPERLINK("https://klasma.github.io/Logging_0760/fåglar/A 45777-2023 prioriterade fågelarter.docx", "A 45777-2023")</f>
        <v/>
      </c>
    </row>
    <row r="32" ht="15" customHeight="1">
      <c r="A32" t="inlineStr">
        <is>
          <t>A 23115-2024</t>
        </is>
      </c>
      <c r="B32" t="inlineStr">
        <is>
          <t>avverkningsanmälan</t>
        </is>
      </c>
      <c r="C32" t="inlineStr">
        <is>
          <t>Föryngringsavverkning</t>
        </is>
      </c>
      <c r="D32" s="1" t="n">
        <v>45450</v>
      </c>
      <c r="E32" s="1" t="n">
        <v>46218</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s="2" t="inlineStr">
        <is>
          <t>Knärot
Tjockfotad fingersvamp
Ullticka</t>
        </is>
      </c>
      <c r="V32">
        <f>HYPERLINK("https://klasma.github.io/Logging_0760/artfynd/A 23115-2024 artfynd.xlsx", "A 23115-2024")</f>
        <v/>
      </c>
      <c r="W32">
        <f>HYPERLINK("https://klasma.github.io/Logging_0760/kartor/A 23115-2024 karta.png", "A 23115-2024")</f>
        <v/>
      </c>
      <c r="X32">
        <f>HYPERLINK("https://klasma.github.io/Logging_0760/knärot/A 23115-2024 karta knärot.png", "A 23115-2024")</f>
        <v/>
      </c>
      <c r="Y32">
        <f>HYPERLINK("https://klasma.github.io/Logging_0760/klagomål/A 23115-2024 FSC-klagomål.docx", "A 23115-2024")</f>
        <v/>
      </c>
      <c r="Z32">
        <f>HYPERLINK("https://klasma.github.io/Logging_0760/klagomålsmail/A 23115-2024 FSC-klagomål mail.docx", "A 23115-2024")</f>
        <v/>
      </c>
      <c r="AA32">
        <f>HYPERLINK("https://klasma.github.io/Logging_0760/tillsyn/A 23115-2024 tillsynsbegäran.docx", "A 23115-2024")</f>
        <v/>
      </c>
      <c r="AB32">
        <f>HYPERLINK("https://klasma.github.io/Logging_0760/tillsynsmail/A 23115-2024 tillsynsbegäran mail.docx", "A 23115-2024")</f>
        <v/>
      </c>
    </row>
    <row r="33" ht="15" customHeight="1">
      <c r="A33" t="inlineStr">
        <is>
          <t>A 27866-2024</t>
        </is>
      </c>
      <c r="B33" t="inlineStr">
        <is>
          <t>avverkningsanmälan</t>
        </is>
      </c>
      <c r="C33" t="inlineStr">
        <is>
          <t>Avverkning för annat ändamål</t>
        </is>
      </c>
      <c r="D33" s="1" t="n">
        <v>45475</v>
      </c>
      <c r="E33" s="1" t="n">
        <v>46218</v>
      </c>
      <c r="F33" t="inlineStr">
        <is>
          <t>KRONOBERGS LÄN</t>
        </is>
      </c>
      <c r="G33" t="inlineStr">
        <is>
          <t>UPPVIDINGE</t>
        </is>
      </c>
      <c r="I33" t="n">
        <v>2.6</v>
      </c>
      <c r="J33" t="n">
        <v>0</v>
      </c>
      <c r="K33" t="n">
        <v>0</v>
      </c>
      <c r="L33" t="n">
        <v>3</v>
      </c>
      <c r="M33" t="n">
        <v>0</v>
      </c>
      <c r="N33" t="n">
        <v>0</v>
      </c>
      <c r="O33" t="n">
        <v>0</v>
      </c>
      <c r="P33" t="n">
        <v>0</v>
      </c>
      <c r="Q33" t="n">
        <v>3</v>
      </c>
      <c r="R33" t="n">
        <v>0</v>
      </c>
      <c r="S33" t="n">
        <v>3</v>
      </c>
      <c r="T33" t="n">
        <v>12</v>
      </c>
      <c r="U33" s="2" t="inlineStr">
        <is>
          <t>Backmåra
Spindelört
Spindelörtskinnbagge</t>
        </is>
      </c>
      <c r="V33">
        <f>HYPERLINK("https://klasma.github.io/Logging_0760/artfynd/A 27866-2024 artfynd.xlsx", "A 27866-2024")</f>
        <v/>
      </c>
      <c r="W33">
        <f>HYPERLINK("https://klasma.github.io/Logging_0760/kartor/A 27866-2024 karta.png", "A 27866-2024")</f>
        <v/>
      </c>
      <c r="Y33">
        <f>HYPERLINK("https://klasma.github.io/Logging_0760/klagomål/A 27866-2024 FSC-klagomål.docx", "A 27866-2024")</f>
        <v/>
      </c>
      <c r="Z33">
        <f>HYPERLINK("https://klasma.github.io/Logging_0760/klagomålsmail/A 27866-2024 FSC-klagomål mail.docx", "A 27866-2024")</f>
        <v/>
      </c>
      <c r="AA33">
        <f>HYPERLINK("https://klasma.github.io/Logging_0760/tillsyn/A 27866-2024 tillsynsbegäran.docx", "A 27866-2024")</f>
        <v/>
      </c>
      <c r="AB33">
        <f>HYPERLINK("https://klasma.github.io/Logging_0760/tillsynsmail/A 27866-2024 tillsynsbegäran mail.docx", "A 27866-2024")</f>
        <v/>
      </c>
    </row>
    <row r="34" ht="15" customHeight="1">
      <c r="A34" t="inlineStr">
        <is>
          <t>A 33088-2025</t>
        </is>
      </c>
      <c r="B34" t="inlineStr">
        <is>
          <t>avverkningsanmälan</t>
        </is>
      </c>
      <c r="C34" t="inlineStr">
        <is>
          <t>Föryngringsavverkning</t>
        </is>
      </c>
      <c r="D34" s="1" t="n">
        <v>45840</v>
      </c>
      <c r="E34" s="1" t="n">
        <v>46218</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s="2" t="inlineStr">
        <is>
          <t>Fjällig taggsvamp s.str.
Skarp dropptaggsvamp
Blåsippa</t>
        </is>
      </c>
      <c r="V34">
        <f>HYPERLINK("https://klasma.github.io/Logging_0760/artfynd/A 33088-2025 artfynd.xlsx", "A 33088-2025")</f>
        <v/>
      </c>
      <c r="W34">
        <f>HYPERLINK("https://klasma.github.io/Logging_0760/kartor/A 33088-2025 karta.png", "A 33088-2025")</f>
        <v/>
      </c>
      <c r="Y34">
        <f>HYPERLINK("https://klasma.github.io/Logging_0760/klagomål/A 33088-2025 FSC-klagomål.docx", "A 33088-2025")</f>
        <v/>
      </c>
      <c r="Z34">
        <f>HYPERLINK("https://klasma.github.io/Logging_0760/klagomålsmail/A 33088-2025 FSC-klagomål mail.docx", "A 33088-2025")</f>
        <v/>
      </c>
      <c r="AA34">
        <f>HYPERLINK("https://klasma.github.io/Logging_0760/tillsyn/A 33088-2025 tillsynsbegäran.docx", "A 33088-2025")</f>
        <v/>
      </c>
      <c r="AB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46218</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46218</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46218</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1917-2023</t>
        </is>
      </c>
      <c r="B38" t="inlineStr">
        <is>
          <t>avverkningsanmälan</t>
        </is>
      </c>
      <c r="C38" t="inlineStr">
        <is>
          <t>Avverkning för annat ändamål</t>
        </is>
      </c>
      <c r="D38" s="1" t="n">
        <v>44937</v>
      </c>
      <c r="E38" s="1" t="n">
        <v>46218</v>
      </c>
      <c r="F38" t="inlineStr">
        <is>
          <t>KRONOBERGS LÄN</t>
        </is>
      </c>
      <c r="G38" t="inlineStr">
        <is>
          <t>UPPVIDINGE</t>
        </is>
      </c>
      <c r="H38" t="inlineStr">
        <is>
          <t>Kommuner</t>
        </is>
      </c>
      <c r="I38" t="n">
        <v>9.1</v>
      </c>
      <c r="J38" t="n">
        <v>2</v>
      </c>
      <c r="K38" t="n">
        <v>0</v>
      </c>
      <c r="L38" t="n">
        <v>0</v>
      </c>
      <c r="M38" t="n">
        <v>0</v>
      </c>
      <c r="N38" t="n">
        <v>0</v>
      </c>
      <c r="O38" t="n">
        <v>0</v>
      </c>
      <c r="P38" t="n">
        <v>0</v>
      </c>
      <c r="Q38" t="n">
        <v>0</v>
      </c>
      <c r="R38" t="n">
        <v>0</v>
      </c>
      <c r="S38" t="n">
        <v>2</v>
      </c>
      <c r="T38" t="n">
        <v>2</v>
      </c>
      <c r="U38" s="2" t="inlineStr">
        <is>
          <t>Skogsödla
Revlummer</t>
        </is>
      </c>
      <c r="V38">
        <f>HYPERLINK("https://klasma.github.io/Logging_0760/artfynd/A 1917-2023 artfynd.xlsx", "A 1917-2023")</f>
        <v/>
      </c>
      <c r="W38">
        <f>HYPERLINK("https://klasma.github.io/Logging_0760/kartor/A 1917-2023 karta.png", "A 1917-2023")</f>
        <v/>
      </c>
      <c r="Y38">
        <f>HYPERLINK("https://klasma.github.io/Logging_0760/klagomål/A 1917-2023 FSC-klagomål.docx", "A 1917-2023")</f>
        <v/>
      </c>
      <c r="Z38">
        <f>HYPERLINK("https://klasma.github.io/Logging_0760/klagomålsmail/A 1917-2023 FSC-klagomål mail.docx", "A 1917-2023")</f>
        <v/>
      </c>
      <c r="AA38">
        <f>HYPERLINK("https://klasma.github.io/Logging_0760/tillsyn/A 1917-2023 tillsynsbegäran.docx", "A 1917-2023")</f>
        <v/>
      </c>
      <c r="AB38">
        <f>HYPERLINK("https://klasma.github.io/Logging_0760/tillsynsmail/A 1917-2023 tillsynsbegäran mail.docx", "A 1917-2023")</f>
        <v/>
      </c>
    </row>
    <row r="39" ht="15" customHeight="1">
      <c r="A39" t="inlineStr">
        <is>
          <t>A 4720-2025</t>
        </is>
      </c>
      <c r="B39" t="inlineStr">
        <is>
          <t>avverkningsanmälan</t>
        </is>
      </c>
      <c r="C39" t="inlineStr">
        <is>
          <t>Föryngringsavverkning</t>
        </is>
      </c>
      <c r="D39" s="1" t="n">
        <v>45688</v>
      </c>
      <c r="E39" s="1" t="n">
        <v>46218</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s="2" t="inlineStr">
        <is>
          <t>Blåsippa
Gullviva</t>
        </is>
      </c>
      <c r="V39">
        <f>HYPERLINK("https://klasma.github.io/Logging_0760/artfynd/A 4720-2025 artfynd.xlsx", "A 4720-2025")</f>
        <v/>
      </c>
      <c r="W39">
        <f>HYPERLINK("https://klasma.github.io/Logging_0760/kartor/A 4720-2025 karta.png", "A 4720-2025")</f>
        <v/>
      </c>
      <c r="Y39">
        <f>HYPERLINK("https://klasma.github.io/Logging_0760/klagomål/A 4720-2025 FSC-klagomål.docx", "A 4720-2025")</f>
        <v/>
      </c>
      <c r="Z39">
        <f>HYPERLINK("https://klasma.github.io/Logging_0760/klagomålsmail/A 4720-2025 FSC-klagomål mail.docx", "A 4720-2025")</f>
        <v/>
      </c>
      <c r="AA39">
        <f>HYPERLINK("https://klasma.github.io/Logging_0760/tillsyn/A 4720-2025 tillsynsbegäran.docx", "A 4720-2025")</f>
        <v/>
      </c>
      <c r="AB39">
        <f>HYPERLINK("https://klasma.github.io/Logging_0760/tillsynsmail/A 4720-2025 tillsynsbegäran mail.docx", "A 4720-2025")</f>
        <v/>
      </c>
    </row>
    <row r="40" ht="15" customHeight="1">
      <c r="A40" t="inlineStr">
        <is>
          <t>A 42930-2022</t>
        </is>
      </c>
      <c r="B40" t="inlineStr">
        <is>
          <t>avverkningsanmälan</t>
        </is>
      </c>
      <c r="C40" t="inlineStr">
        <is>
          <t>Föryngringsavverkning</t>
        </is>
      </c>
      <c r="D40" s="1" t="n">
        <v>44833</v>
      </c>
      <c r="E40" s="1" t="n">
        <v>46218</v>
      </c>
      <c r="F40" t="inlineStr">
        <is>
          <t>KRONOBERGS LÄN</t>
        </is>
      </c>
      <c r="G40" t="inlineStr">
        <is>
          <t>UPPVIDINGE</t>
        </is>
      </c>
      <c r="H40" t="inlineStr">
        <is>
          <t>Sveaskog</t>
        </is>
      </c>
      <c r="I40" t="n">
        <v>1.1</v>
      </c>
      <c r="J40" t="n">
        <v>1</v>
      </c>
      <c r="K40" t="n">
        <v>0</v>
      </c>
      <c r="L40" t="n">
        <v>1</v>
      </c>
      <c r="M40" t="n">
        <v>0</v>
      </c>
      <c r="N40" t="n">
        <v>0</v>
      </c>
      <c r="O40" t="n">
        <v>0</v>
      </c>
      <c r="P40" t="n">
        <v>0</v>
      </c>
      <c r="Q40" t="n">
        <v>1</v>
      </c>
      <c r="R40" t="n">
        <v>0</v>
      </c>
      <c r="S40" t="n">
        <v>2</v>
      </c>
      <c r="T40" t="n">
        <v>2</v>
      </c>
      <c r="U40" s="2" t="inlineStr">
        <is>
          <t>Solvända
Fläcknycklar</t>
        </is>
      </c>
      <c r="V40">
        <f>HYPERLINK("https://klasma.github.io/Logging_0760/artfynd/A 42930-2022 artfynd.xlsx", "A 42930-2022")</f>
        <v/>
      </c>
      <c r="W40">
        <f>HYPERLINK("https://klasma.github.io/Logging_0760/kartor/A 42930-2022 karta.png", "A 42930-2022")</f>
        <v/>
      </c>
      <c r="Y40">
        <f>HYPERLINK("https://klasma.github.io/Logging_0760/klagomål/A 42930-2022 FSC-klagomål.docx", "A 42930-2022")</f>
        <v/>
      </c>
      <c r="Z40">
        <f>HYPERLINK("https://klasma.github.io/Logging_0760/klagomålsmail/A 42930-2022 FSC-klagomål mail.docx", "A 42930-2022")</f>
        <v/>
      </c>
      <c r="AA40">
        <f>HYPERLINK("https://klasma.github.io/Logging_0760/tillsyn/A 42930-2022 tillsynsbegäran.docx", "A 42930-2022")</f>
        <v/>
      </c>
      <c r="AB40">
        <f>HYPERLINK("https://klasma.github.io/Logging_0760/tillsynsmail/A 42930-2022 tillsynsbegäran mail.docx", "A 42930-2022")</f>
        <v/>
      </c>
    </row>
    <row r="41" ht="15" customHeight="1">
      <c r="A41" t="inlineStr">
        <is>
          <t>A 48123-2023</t>
        </is>
      </c>
      <c r="B41" t="inlineStr">
        <is>
          <t>avverkningsanmälan</t>
        </is>
      </c>
      <c r="C41" t="inlineStr">
        <is>
          <t>Föryngringsavverkning</t>
        </is>
      </c>
      <c r="D41" s="1" t="n">
        <v>45205</v>
      </c>
      <c r="E41" s="1" t="n">
        <v>46218</v>
      </c>
      <c r="F41" t="inlineStr">
        <is>
          <t>KRONOBERGS LÄN</t>
        </is>
      </c>
      <c r="G41" t="inlineStr">
        <is>
          <t>UPPVIDINGE</t>
        </is>
      </c>
      <c r="I41" t="n">
        <v>3.7</v>
      </c>
      <c r="J41" t="n">
        <v>2</v>
      </c>
      <c r="K41" t="n">
        <v>0</v>
      </c>
      <c r="L41" t="n">
        <v>2</v>
      </c>
      <c r="M41" t="n">
        <v>0</v>
      </c>
      <c r="N41" t="n">
        <v>0</v>
      </c>
      <c r="O41" t="n">
        <v>0</v>
      </c>
      <c r="P41" t="n">
        <v>0</v>
      </c>
      <c r="Q41" t="n">
        <v>2</v>
      </c>
      <c r="R41" t="n">
        <v>0</v>
      </c>
      <c r="S41" t="n">
        <v>2</v>
      </c>
      <c r="T41" t="n">
        <v>2</v>
      </c>
      <c r="U41" s="2" t="inlineStr">
        <is>
          <t>Gulsparv
Järnsparv</t>
        </is>
      </c>
      <c r="V41">
        <f>HYPERLINK("https://klasma.github.io/Logging_0760/artfynd/A 48123-2023 artfynd.xlsx", "A 48123-2023")</f>
        <v/>
      </c>
      <c r="W41">
        <f>HYPERLINK("https://klasma.github.io/Logging_0760/kartor/A 48123-2023 karta.png", "A 48123-2023")</f>
        <v/>
      </c>
      <c r="Y41">
        <f>HYPERLINK("https://klasma.github.io/Logging_0760/klagomål/A 48123-2023 FSC-klagomål.docx", "A 48123-2023")</f>
        <v/>
      </c>
      <c r="Z41">
        <f>HYPERLINK("https://klasma.github.io/Logging_0760/klagomålsmail/A 48123-2023 FSC-klagomål mail.docx", "A 48123-2023")</f>
        <v/>
      </c>
      <c r="AA41">
        <f>HYPERLINK("https://klasma.github.io/Logging_0760/tillsyn/A 48123-2023 tillsynsbegäran.docx", "A 48123-2023")</f>
        <v/>
      </c>
      <c r="AB41">
        <f>HYPERLINK("https://klasma.github.io/Logging_0760/tillsynsmail/A 48123-2023 tillsynsbegäran mail.docx", "A 48123-2023")</f>
        <v/>
      </c>
      <c r="AC41">
        <f>HYPERLINK("https://klasma.github.io/Logging_0760/fåglar/A 48123-2023 prioriterade fågelarter.docx", "A 48123-2023")</f>
        <v/>
      </c>
    </row>
    <row r="42" ht="15" customHeight="1">
      <c r="A42" t="inlineStr">
        <is>
          <t>A 32944-2024</t>
        </is>
      </c>
      <c r="B42" t="inlineStr">
        <is>
          <t>avverkningsanmälan</t>
        </is>
      </c>
      <c r="C42" t="inlineStr">
        <is>
          <t>Föryngringsavverkning</t>
        </is>
      </c>
      <c r="D42" s="1" t="n">
        <v>45517</v>
      </c>
      <c r="E42" s="1" t="n">
        <v>46218</v>
      </c>
      <c r="F42" t="inlineStr">
        <is>
          <t>KRONOBERGS LÄN</t>
        </is>
      </c>
      <c r="G42" t="inlineStr">
        <is>
          <t>UPPVIDINGE</t>
        </is>
      </c>
      <c r="I42" t="n">
        <v>7.9</v>
      </c>
      <c r="J42" t="n">
        <v>1</v>
      </c>
      <c r="K42" t="n">
        <v>1</v>
      </c>
      <c r="L42" t="n">
        <v>0</v>
      </c>
      <c r="M42" t="n">
        <v>0</v>
      </c>
      <c r="N42" t="n">
        <v>0</v>
      </c>
      <c r="O42" t="n">
        <v>0</v>
      </c>
      <c r="P42" t="n">
        <v>0</v>
      </c>
      <c r="Q42" t="n">
        <v>0</v>
      </c>
      <c r="R42" t="n">
        <v>0</v>
      </c>
      <c r="S42" t="n">
        <v>2</v>
      </c>
      <c r="T42" t="n">
        <v>3</v>
      </c>
      <c r="U42" s="2" t="inlineStr">
        <is>
          <t>Blåmossa
Revlummer</t>
        </is>
      </c>
      <c r="V42">
        <f>HYPERLINK("https://klasma.github.io/Logging_0760/artfynd/A 32944-2024 artfynd.xlsx", "A 32944-2024")</f>
        <v/>
      </c>
      <c r="W42">
        <f>HYPERLINK("https://klasma.github.io/Logging_0760/kartor/A 32944-2024 karta.png", "A 32944-2024")</f>
        <v/>
      </c>
      <c r="Y42">
        <f>HYPERLINK("https://klasma.github.io/Logging_0760/klagomål/A 32944-2024 FSC-klagomål.docx", "A 32944-2024")</f>
        <v/>
      </c>
      <c r="Z42">
        <f>HYPERLINK("https://klasma.github.io/Logging_0760/klagomålsmail/A 32944-2024 FSC-klagomål mail.docx", "A 32944-2024")</f>
        <v/>
      </c>
      <c r="AA42">
        <f>HYPERLINK("https://klasma.github.io/Logging_0760/tillsyn/A 32944-2024 tillsynsbegäran.docx", "A 32944-2024")</f>
        <v/>
      </c>
      <c r="AB42">
        <f>HYPERLINK("https://klasma.github.io/Logging_0760/tillsynsmail/A 32944-2024 tillsynsbegäran mail.docx", "A 32944-2024")</f>
        <v/>
      </c>
    </row>
    <row r="43" ht="15" customHeight="1">
      <c r="A43" t="inlineStr">
        <is>
          <t>A 28468-2023</t>
        </is>
      </c>
      <c r="B43" t="inlineStr">
        <is>
          <t>avverkningsanmälan</t>
        </is>
      </c>
      <c r="C43" t="inlineStr">
        <is>
          <t>Föryngringsavverkning</t>
        </is>
      </c>
      <c r="D43" s="1" t="n">
        <v>45103</v>
      </c>
      <c r="E43" s="1" t="n">
        <v>46218</v>
      </c>
      <c r="F43" t="inlineStr">
        <is>
          <t>KRONOBERGS LÄN</t>
        </is>
      </c>
      <c r="G43" t="inlineStr">
        <is>
          <t>UPPVIDINGE</t>
        </is>
      </c>
      <c r="I43" t="n">
        <v>5.9</v>
      </c>
      <c r="J43" t="n">
        <v>2</v>
      </c>
      <c r="K43" t="n">
        <v>1</v>
      </c>
      <c r="L43" t="n">
        <v>0</v>
      </c>
      <c r="M43" t="n">
        <v>0</v>
      </c>
      <c r="N43" t="n">
        <v>0</v>
      </c>
      <c r="O43" t="n">
        <v>0</v>
      </c>
      <c r="P43" t="n">
        <v>0</v>
      </c>
      <c r="Q43" t="n">
        <v>0</v>
      </c>
      <c r="R43" t="n">
        <v>0</v>
      </c>
      <c r="S43" t="n">
        <v>2</v>
      </c>
      <c r="T43" t="n">
        <v>3</v>
      </c>
      <c r="U43" s="2" t="inlineStr">
        <is>
          <t>Korallrot
Dubbelnycklar</t>
        </is>
      </c>
      <c r="V43">
        <f>HYPERLINK("https://klasma.github.io/Logging_0760/artfynd/A 28468-2023 artfynd.xlsx", "A 28468-2023")</f>
        <v/>
      </c>
      <c r="W43">
        <f>HYPERLINK("https://klasma.github.io/Logging_0760/kartor/A 28468-2023 karta.png", "A 28468-2023")</f>
        <v/>
      </c>
      <c r="Y43">
        <f>HYPERLINK("https://klasma.github.io/Logging_0760/klagomål/A 28468-2023 FSC-klagomål.docx", "A 28468-2023")</f>
        <v/>
      </c>
      <c r="Z43">
        <f>HYPERLINK("https://klasma.github.io/Logging_0760/klagomålsmail/A 28468-2023 FSC-klagomål mail.docx", "A 28468-2023")</f>
        <v/>
      </c>
      <c r="AA43">
        <f>HYPERLINK("https://klasma.github.io/Logging_0760/tillsyn/A 28468-2023 tillsynsbegäran.docx", "A 28468-2023")</f>
        <v/>
      </c>
      <c r="AB43">
        <f>HYPERLINK("https://klasma.github.io/Logging_0760/tillsynsmail/A 28468-2023 tillsynsbegäran mail.docx", "A 28468-2023")</f>
        <v/>
      </c>
    </row>
    <row r="44" ht="15" customHeight="1">
      <c r="A44" t="inlineStr">
        <is>
          <t>A 15743-2024</t>
        </is>
      </c>
      <c r="B44" t="inlineStr">
        <is>
          <t>avverkningsanmälan</t>
        </is>
      </c>
      <c r="C44" t="inlineStr">
        <is>
          <t>Föryngringsavverkning</t>
        </is>
      </c>
      <c r="D44" s="1" t="n">
        <v>45404</v>
      </c>
      <c r="E44" s="1" t="n">
        <v>46218</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s="2" t="inlineStr">
        <is>
          <t>Grönpyrola
Mattlummer</t>
        </is>
      </c>
      <c r="V44">
        <f>HYPERLINK("https://klasma.github.io/Logging_0760/artfynd/A 15743-2024 artfynd.xlsx", "A 15743-2024")</f>
        <v/>
      </c>
      <c r="W44">
        <f>HYPERLINK("https://klasma.github.io/Logging_0760/kartor/A 15743-2024 karta.png", "A 15743-2024")</f>
        <v/>
      </c>
      <c r="Y44">
        <f>HYPERLINK("https://klasma.github.io/Logging_0760/klagomål/A 15743-2024 FSC-klagomål.docx", "A 15743-2024")</f>
        <v/>
      </c>
      <c r="Z44">
        <f>HYPERLINK("https://klasma.github.io/Logging_0760/klagomålsmail/A 15743-2024 FSC-klagomål mail.docx", "A 15743-2024")</f>
        <v/>
      </c>
      <c r="AA44">
        <f>HYPERLINK("https://klasma.github.io/Logging_0760/tillsyn/A 15743-2024 tillsynsbegäran.docx", "A 15743-2024")</f>
        <v/>
      </c>
      <c r="AB44">
        <f>HYPERLINK("https://klasma.github.io/Logging_0760/tillsynsmail/A 15743-2024 tillsynsbegäran mail.docx", "A 15743-2024")</f>
        <v/>
      </c>
    </row>
    <row r="45" ht="15" customHeight="1">
      <c r="A45" t="inlineStr">
        <is>
          <t>A 3607-2024</t>
        </is>
      </c>
      <c r="B45" t="inlineStr">
        <is>
          <t>avverkningsanmälan</t>
        </is>
      </c>
      <c r="C45" t="inlineStr">
        <is>
          <t>Föryngringsavverkning</t>
        </is>
      </c>
      <c r="D45" s="1" t="n">
        <v>45320</v>
      </c>
      <c r="E45" s="1" t="n">
        <v>46218</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s="2" t="inlineStr">
        <is>
          <t>Fjällig taggsvamp s.str.
Skarp dropptaggsvamp</t>
        </is>
      </c>
      <c r="V45">
        <f>HYPERLINK("https://klasma.github.io/Logging_0760/artfynd/A 3607-2024 artfynd.xlsx", "A 3607-2024")</f>
        <v/>
      </c>
      <c r="W45">
        <f>HYPERLINK("https://klasma.github.io/Logging_0760/kartor/A 3607-2024 karta.png", "A 3607-2024")</f>
        <v/>
      </c>
      <c r="Y45">
        <f>HYPERLINK("https://klasma.github.io/Logging_0760/klagomål/A 3607-2024 FSC-klagomål.docx", "A 3607-2024")</f>
        <v/>
      </c>
      <c r="Z45">
        <f>HYPERLINK("https://klasma.github.io/Logging_0760/klagomålsmail/A 3607-2024 FSC-klagomål mail.docx", "A 3607-2024")</f>
        <v/>
      </c>
      <c r="AA45">
        <f>HYPERLINK("https://klasma.github.io/Logging_0760/tillsyn/A 3607-2024 tillsynsbegäran.docx", "A 3607-2024")</f>
        <v/>
      </c>
      <c r="AB45">
        <f>HYPERLINK("https://klasma.github.io/Logging_0760/tillsynsmail/A 3607-2024 tillsynsbegäran mail.docx", "A 3607-2024")</f>
        <v/>
      </c>
    </row>
    <row r="46" ht="15" customHeight="1">
      <c r="A46" t="inlineStr">
        <is>
          <t>A 51447-2024</t>
        </is>
      </c>
      <c r="B46" t="inlineStr">
        <is>
          <t>avverkningsanmälan</t>
        </is>
      </c>
      <c r="C46" t="inlineStr">
        <is>
          <t>Föryngringsavverkning</t>
        </is>
      </c>
      <c r="D46" s="1" t="n">
        <v>45604</v>
      </c>
      <c r="E46" s="1" t="n">
        <v>46218</v>
      </c>
      <c r="F46" t="inlineStr">
        <is>
          <t>KRONOBERGS LÄN</t>
        </is>
      </c>
      <c r="G46" t="inlineStr">
        <is>
          <t>UPPVIDINGE</t>
        </is>
      </c>
      <c r="I46" t="n">
        <v>1.1</v>
      </c>
      <c r="J46" t="n">
        <v>1</v>
      </c>
      <c r="K46" t="n">
        <v>1</v>
      </c>
      <c r="L46" t="n">
        <v>0</v>
      </c>
      <c r="M46" t="n">
        <v>0</v>
      </c>
      <c r="N46" t="n">
        <v>0</v>
      </c>
      <c r="O46" t="n">
        <v>0</v>
      </c>
      <c r="P46" t="n">
        <v>0</v>
      </c>
      <c r="Q46" t="n">
        <v>0</v>
      </c>
      <c r="R46" t="n">
        <v>0</v>
      </c>
      <c r="S46" t="n">
        <v>2</v>
      </c>
      <c r="T46" t="n">
        <v>2</v>
      </c>
      <c r="U46" s="2" t="inlineStr">
        <is>
          <t>Trådticka
Tjäder</t>
        </is>
      </c>
      <c r="V46">
        <f>HYPERLINK("https://klasma.github.io/Logging_0760/artfynd/A 51447-2024 artfynd.xlsx", "A 51447-2024")</f>
        <v/>
      </c>
      <c r="W46">
        <f>HYPERLINK("https://klasma.github.io/Logging_0760/kartor/A 51447-2024 karta.png", "A 51447-2024")</f>
        <v/>
      </c>
      <c r="Y46">
        <f>HYPERLINK("https://klasma.github.io/Logging_0760/klagomål/A 51447-2024 FSC-klagomål.docx", "A 51447-2024")</f>
        <v/>
      </c>
      <c r="Z46">
        <f>HYPERLINK("https://klasma.github.io/Logging_0760/klagomålsmail/A 51447-2024 FSC-klagomål mail.docx", "A 51447-2024")</f>
        <v/>
      </c>
      <c r="AA46">
        <f>HYPERLINK("https://klasma.github.io/Logging_0760/tillsyn/A 51447-2024 tillsynsbegäran.docx", "A 51447-2024")</f>
        <v/>
      </c>
      <c r="AB46">
        <f>HYPERLINK("https://klasma.github.io/Logging_0760/tillsynsmail/A 51447-2024 tillsynsbegäran mail.docx", "A 51447-2024")</f>
        <v/>
      </c>
      <c r="AC46">
        <f>HYPERLINK("https://klasma.github.io/Logging_0760/fåglar/A 51447-2024 prioriterade fågelarter.docx", "A 51447-2024")</f>
        <v/>
      </c>
    </row>
    <row r="47" ht="15" customHeight="1">
      <c r="A47" t="inlineStr">
        <is>
          <t>A 51489-2024</t>
        </is>
      </c>
      <c r="B47" t="inlineStr">
        <is>
          <t>avverkningsanmälan</t>
        </is>
      </c>
      <c r="C47" t="inlineStr">
        <is>
          <t>Föryngringsavverkning</t>
        </is>
      </c>
      <c r="D47" s="1" t="n">
        <v>45604</v>
      </c>
      <c r="E47" s="1" t="n">
        <v>46218</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s="2" t="inlineStr">
        <is>
          <t>Slåtterfibbla
Tibast</t>
        </is>
      </c>
      <c r="V47">
        <f>HYPERLINK("https://klasma.github.io/Logging_0760/artfynd/A 51489-2024 artfynd.xlsx", "A 51489-2024")</f>
        <v/>
      </c>
      <c r="W47">
        <f>HYPERLINK("https://klasma.github.io/Logging_0760/kartor/A 51489-2024 karta.png", "A 51489-2024")</f>
        <v/>
      </c>
      <c r="Y47">
        <f>HYPERLINK("https://klasma.github.io/Logging_0760/klagomål/A 51489-2024 FSC-klagomål.docx", "A 51489-2024")</f>
        <v/>
      </c>
      <c r="Z47">
        <f>HYPERLINK("https://klasma.github.io/Logging_0760/klagomålsmail/A 51489-2024 FSC-klagomål mail.docx", "A 51489-2024")</f>
        <v/>
      </c>
      <c r="AA47">
        <f>HYPERLINK("https://klasma.github.io/Logging_0760/tillsyn/A 51489-2024 tillsynsbegäran.docx", "A 51489-2024")</f>
        <v/>
      </c>
      <c r="AB47">
        <f>HYPERLINK("https://klasma.github.io/Logging_0760/tillsynsmail/A 51489-2024 tillsynsbegäran mail.docx", "A 51489-2024")</f>
        <v/>
      </c>
    </row>
    <row r="48" ht="15" customHeight="1">
      <c r="A48" t="inlineStr">
        <is>
          <t>A 43405-2024</t>
        </is>
      </c>
      <c r="B48" t="inlineStr">
        <is>
          <t>avverkningsanmälan</t>
        </is>
      </c>
      <c r="C48" t="inlineStr">
        <is>
          <t>Föryngringsavverkning</t>
        </is>
      </c>
      <c r="D48" s="1" t="n">
        <v>45568</v>
      </c>
      <c r="E48" s="1" t="n">
        <v>46218</v>
      </c>
      <c r="F48" t="inlineStr">
        <is>
          <t>KRONOBERGS LÄN</t>
        </is>
      </c>
      <c r="G48" t="inlineStr">
        <is>
          <t>UPPVIDINGE</t>
        </is>
      </c>
      <c r="H48" t="inlineStr">
        <is>
          <t>Kyrkan</t>
        </is>
      </c>
      <c r="I48" t="n">
        <v>0.7</v>
      </c>
      <c r="J48" t="n">
        <v>2</v>
      </c>
      <c r="K48" t="n">
        <v>0</v>
      </c>
      <c r="L48" t="n">
        <v>1</v>
      </c>
      <c r="M48" t="n">
        <v>0</v>
      </c>
      <c r="N48" t="n">
        <v>0</v>
      </c>
      <c r="O48" t="n">
        <v>0</v>
      </c>
      <c r="P48" t="n">
        <v>0</v>
      </c>
      <c r="Q48" t="n">
        <v>1</v>
      </c>
      <c r="R48" t="n">
        <v>0</v>
      </c>
      <c r="S48" t="n">
        <v>2</v>
      </c>
      <c r="T48" t="n">
        <v>2</v>
      </c>
      <c r="U48" s="2" t="inlineStr">
        <is>
          <t>Nordfladdermus
Mustaschfladdermus</t>
        </is>
      </c>
      <c r="V48">
        <f>HYPERLINK("https://klasma.github.io/Logging_0760/artfynd/A 43405-2024 artfynd.xlsx", "A 43405-2024")</f>
        <v/>
      </c>
      <c r="W48">
        <f>HYPERLINK("https://klasma.github.io/Logging_0760/kartor/A 43405-2024 karta.png", "A 43405-2024")</f>
        <v/>
      </c>
      <c r="Y48">
        <f>HYPERLINK("https://klasma.github.io/Logging_0760/klagomål/A 43405-2024 FSC-klagomål.docx", "A 43405-2024")</f>
        <v/>
      </c>
      <c r="Z48">
        <f>HYPERLINK("https://klasma.github.io/Logging_0760/klagomålsmail/A 43405-2024 FSC-klagomål mail.docx", "A 43405-2024")</f>
        <v/>
      </c>
      <c r="AA48">
        <f>HYPERLINK("https://klasma.github.io/Logging_0760/tillsyn/A 43405-2024 tillsynsbegäran.docx", "A 43405-2024")</f>
        <v/>
      </c>
      <c r="AB48">
        <f>HYPERLINK("https://klasma.github.io/Logging_0760/tillsynsmail/A 43405-2024 tillsynsbegäran mail.docx", "A 43405-2024")</f>
        <v/>
      </c>
    </row>
    <row r="49" ht="15" customHeight="1">
      <c r="A49" t="inlineStr">
        <is>
          <t>A 5721-2026</t>
        </is>
      </c>
      <c r="B49" t="inlineStr">
        <is>
          <t>avverkningsanmälan</t>
        </is>
      </c>
      <c r="C49" t="inlineStr">
        <is>
          <t>Avverkning för annat ändamål</t>
        </is>
      </c>
      <c r="D49" s="1" t="n">
        <v>46051</v>
      </c>
      <c r="E49" s="1" t="n">
        <v>46218</v>
      </c>
      <c r="F49" t="inlineStr">
        <is>
          <t>KRONOBERGS LÄN</t>
        </is>
      </c>
      <c r="G49" t="inlineStr">
        <is>
          <t>UPPVIDINGE</t>
        </is>
      </c>
      <c r="I49" t="n">
        <v>2.6</v>
      </c>
      <c r="J49" t="n">
        <v>0</v>
      </c>
      <c r="K49" t="n">
        <v>0</v>
      </c>
      <c r="L49" t="n">
        <v>2</v>
      </c>
      <c r="M49" t="n">
        <v>0</v>
      </c>
      <c r="N49" t="n">
        <v>0</v>
      </c>
      <c r="O49" t="n">
        <v>0</v>
      </c>
      <c r="P49" t="n">
        <v>0</v>
      </c>
      <c r="Q49" t="n">
        <v>2</v>
      </c>
      <c r="R49" t="n">
        <v>0</v>
      </c>
      <c r="S49" t="n">
        <v>2</v>
      </c>
      <c r="T49" t="n">
        <v>2</v>
      </c>
      <c r="U49" s="2" t="inlineStr">
        <is>
          <t>Solvända
Sommarfibbla</t>
        </is>
      </c>
      <c r="V49">
        <f>HYPERLINK("https://klasma.github.io/Logging_0760/artfynd/A 5721-2026 artfynd.xlsx", "A 5721-2026")</f>
        <v/>
      </c>
      <c r="W49">
        <f>HYPERLINK("https://klasma.github.io/Logging_0760/kartor/A 5721-2026 karta.png", "A 5721-2026")</f>
        <v/>
      </c>
      <c r="Y49">
        <f>HYPERLINK("https://klasma.github.io/Logging_0760/klagomål/A 5721-2026 FSC-klagomål.docx", "A 5721-2026")</f>
        <v/>
      </c>
      <c r="Z49">
        <f>HYPERLINK("https://klasma.github.io/Logging_0760/klagomålsmail/A 5721-2026 FSC-klagomål mail.docx", "A 5721-2026")</f>
        <v/>
      </c>
      <c r="AA49">
        <f>HYPERLINK("https://klasma.github.io/Logging_0760/tillsyn/A 5721-2026 tillsynsbegäran.docx", "A 5721-2026")</f>
        <v/>
      </c>
      <c r="AB49">
        <f>HYPERLINK("https://klasma.github.io/Logging_0760/tillsynsmail/A 5721-2026 tillsynsbegäran mail.docx", "A 5721-2026")</f>
        <v/>
      </c>
    </row>
    <row r="50" ht="15" customHeight="1">
      <c r="A50" t="inlineStr">
        <is>
          <t>A 30709-2026</t>
        </is>
      </c>
      <c r="B50" t="inlineStr">
        <is>
          <t>avverkningsanmälan</t>
        </is>
      </c>
      <c r="C50" t="inlineStr">
        <is>
          <t>Föryngringsavverkning</t>
        </is>
      </c>
      <c r="D50" s="1" t="n">
        <v>46205</v>
      </c>
      <c r="E50" s="1" t="n">
        <v>46218</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s="2" t="inlineStr">
        <is>
          <t>Ullticka
Spillkråka</t>
        </is>
      </c>
      <c r="V50">
        <f>HYPERLINK("https://klasma.github.io/Logging_0760/artfynd/A 30709-2026 artfynd.xlsx", "A 30709-2026")</f>
        <v/>
      </c>
      <c r="W50">
        <f>HYPERLINK("https://klasma.github.io/Logging_0760/kartor/A 30709-2026 karta.png", "A 30709-2026")</f>
        <v/>
      </c>
      <c r="Y50">
        <f>HYPERLINK("https://klasma.github.io/Logging_0760/klagomål/A 30709-2026 FSC-klagomål.docx", "A 30709-2026")</f>
        <v/>
      </c>
      <c r="Z50">
        <f>HYPERLINK("https://klasma.github.io/Logging_0760/klagomålsmail/A 30709-2026 FSC-klagomål mail.docx", "A 30709-2026")</f>
        <v/>
      </c>
      <c r="AA50">
        <f>HYPERLINK("https://klasma.github.io/Logging_0760/tillsyn/A 30709-2026 tillsynsbegäran.docx", "A 30709-2026")</f>
        <v/>
      </c>
      <c r="AB50">
        <f>HYPERLINK("https://klasma.github.io/Logging_0760/tillsynsmail/A 30709-2026 tillsynsbegäran mail.docx", "A 30709-2026")</f>
        <v/>
      </c>
      <c r="AC50">
        <f>HYPERLINK("https://klasma.github.io/Logging_0760/fåglar/A 30709-2026 prioriterade fågelarter.docx", "A 30709-2026")</f>
        <v/>
      </c>
    </row>
    <row r="51" ht="15" customHeight="1">
      <c r="A51" t="inlineStr">
        <is>
          <t>A 24410-2026</t>
        </is>
      </c>
      <c r="B51" t="inlineStr">
        <is>
          <t>avverkningsanmälan</t>
        </is>
      </c>
      <c r="C51" t="inlineStr">
        <is>
          <t>Föryngringsavverkning</t>
        </is>
      </c>
      <c r="D51" s="1" t="n">
        <v>46169</v>
      </c>
      <c r="E51" s="1" t="n">
        <v>46218</v>
      </c>
      <c r="F51" t="inlineStr">
        <is>
          <t>KRONOBERGS LÄN</t>
        </is>
      </c>
      <c r="G51" t="inlineStr">
        <is>
          <t>UPPVIDINGE</t>
        </is>
      </c>
      <c r="I51" t="n">
        <v>4.7</v>
      </c>
      <c r="J51" t="n">
        <v>2</v>
      </c>
      <c r="K51" t="n">
        <v>0</v>
      </c>
      <c r="L51" t="n">
        <v>2</v>
      </c>
      <c r="M51" t="n">
        <v>0</v>
      </c>
      <c r="N51" t="n">
        <v>0</v>
      </c>
      <c r="O51" t="n">
        <v>0</v>
      </c>
      <c r="P51" t="n">
        <v>0</v>
      </c>
      <c r="Q51" t="n">
        <v>2</v>
      </c>
      <c r="R51" t="n">
        <v>0</v>
      </c>
      <c r="S51" t="n">
        <v>2</v>
      </c>
      <c r="T51" t="n">
        <v>2</v>
      </c>
      <c r="U51" s="2" t="inlineStr">
        <is>
          <t>Brunlångöra
Nordfladdermus</t>
        </is>
      </c>
      <c r="V51">
        <f>HYPERLINK("https://klasma.github.io/Logging_0760/artfynd/A 24410-2026 artfynd.xlsx", "A 24410-2026")</f>
        <v/>
      </c>
      <c r="W51">
        <f>HYPERLINK("https://klasma.github.io/Logging_0760/kartor/A 24410-2026 karta.png", "A 24410-2026")</f>
        <v/>
      </c>
      <c r="Y51">
        <f>HYPERLINK("https://klasma.github.io/Logging_0760/klagomål/A 24410-2026 FSC-klagomål.docx", "A 24410-2026")</f>
        <v/>
      </c>
      <c r="Z51">
        <f>HYPERLINK("https://klasma.github.io/Logging_0760/klagomålsmail/A 24410-2026 FSC-klagomål mail.docx", "A 24410-2026")</f>
        <v/>
      </c>
      <c r="AA51">
        <f>HYPERLINK("https://klasma.github.io/Logging_0760/tillsyn/A 24410-2026 tillsynsbegäran.docx", "A 24410-2026")</f>
        <v/>
      </c>
      <c r="AB51">
        <f>HYPERLINK("https://klasma.github.io/Logging_0760/tillsynsmail/A 24410-2026 tillsynsbegäran mail.docx", "A 24410-2026")</f>
        <v/>
      </c>
    </row>
    <row r="52" ht="15" customHeight="1">
      <c r="A52" t="inlineStr">
        <is>
          <t>S 604-2023</t>
        </is>
      </c>
      <c r="B52" t="inlineStr">
        <is>
          <t>samrådsanmälan</t>
        </is>
      </c>
      <c r="C52" t="inlineStr">
        <is>
          <t>Askåterföring</t>
        </is>
      </c>
      <c r="D52" s="1" t="n">
        <v>44972</v>
      </c>
      <c r="E52" s="1" t="n">
        <v>46218</v>
      </c>
      <c r="F52" t="inlineStr">
        <is>
          <t>KRONOBERGS LÄN</t>
        </is>
      </c>
      <c r="G52" t="inlineStr">
        <is>
          <t>UPPVIDINGE</t>
        </is>
      </c>
      <c r="H52" t="inlineStr">
        <is>
          <t>Sveaskog</t>
        </is>
      </c>
      <c r="I52" t="n">
        <v>215.6</v>
      </c>
      <c r="J52" t="n">
        <v>0</v>
      </c>
      <c r="K52" t="n">
        <v>1</v>
      </c>
      <c r="L52" t="n">
        <v>0</v>
      </c>
      <c r="M52" t="n">
        <v>1</v>
      </c>
      <c r="N52" t="n">
        <v>0</v>
      </c>
      <c r="O52" t="n">
        <v>0</v>
      </c>
      <c r="P52" t="n">
        <v>0</v>
      </c>
      <c r="Q52" t="n">
        <v>1</v>
      </c>
      <c r="R52" t="n">
        <v>1</v>
      </c>
      <c r="S52" t="n">
        <v>2</v>
      </c>
      <c r="T52" t="n">
        <v>2</v>
      </c>
      <c r="U52" s="2" t="inlineStr">
        <is>
          <t>Liten blekspik
Rävticka</t>
        </is>
      </c>
      <c r="V52">
        <f>HYPERLINK("https://klasma.github.io/Logging_0760/artfynd/S 604-2023 artfynd.xlsx", "S 604-2023")</f>
        <v/>
      </c>
      <c r="W52">
        <f>HYPERLINK("https://klasma.github.io/Logging_0760/kartor/S 604-2023 karta.png", "S 604-2023")</f>
        <v/>
      </c>
      <c r="Y52">
        <f>HYPERLINK("https://klasma.github.io/Logging_0760/klagomål/S 604-2023 FSC-klagomål.docx", "S 604-2023")</f>
        <v/>
      </c>
      <c r="Z52">
        <f>HYPERLINK("https://klasma.github.io/Logging_0760/klagomålsmail/S 604-2023 FSC-klagomål mail.docx", "S 604-2023")</f>
        <v/>
      </c>
      <c r="AA52">
        <f>HYPERLINK("https://klasma.github.io/Logging_0760/tillsyn/S 604-2023 tillsynsbegäran.docx", "S 604-2023")</f>
        <v/>
      </c>
      <c r="AB52">
        <f>HYPERLINK("https://klasma.github.io/Logging_0760/tillsynsmail/S 604-2023 tillsynsbegäran mail.docx", "S 604-2023")</f>
        <v/>
      </c>
    </row>
    <row r="53" ht="15" customHeight="1">
      <c r="A53" t="inlineStr">
        <is>
          <t>S 616-2023</t>
        </is>
      </c>
      <c r="B53" t="inlineStr">
        <is>
          <t>samrådsanmälan</t>
        </is>
      </c>
      <c r="C53" t="inlineStr">
        <is>
          <t>Askåterföring</t>
        </is>
      </c>
      <c r="D53" s="1" t="n">
        <v>44972</v>
      </c>
      <c r="E53" s="1" t="n">
        <v>46218</v>
      </c>
      <c r="F53" t="inlineStr">
        <is>
          <t>KRONOBERGS LÄN</t>
        </is>
      </c>
      <c r="G53" t="inlineStr">
        <is>
          <t>UPPVIDINGE</t>
        </is>
      </c>
      <c r="H53" t="inlineStr">
        <is>
          <t>Sveaskog</t>
        </is>
      </c>
      <c r="I53" t="n">
        <v>131.1</v>
      </c>
      <c r="J53" t="n">
        <v>2</v>
      </c>
      <c r="K53" t="n">
        <v>1</v>
      </c>
      <c r="L53" t="n">
        <v>1</v>
      </c>
      <c r="M53" t="n">
        <v>0</v>
      </c>
      <c r="N53" t="n">
        <v>0</v>
      </c>
      <c r="O53" t="n">
        <v>0</v>
      </c>
      <c r="P53" t="n">
        <v>0</v>
      </c>
      <c r="Q53" t="n">
        <v>1</v>
      </c>
      <c r="R53" t="n">
        <v>0</v>
      </c>
      <c r="S53" t="n">
        <v>2</v>
      </c>
      <c r="T53" t="n">
        <v>3</v>
      </c>
      <c r="U53" s="2" t="inlineStr">
        <is>
          <t>Talltita
Korallrot</t>
        </is>
      </c>
      <c r="V53">
        <f>HYPERLINK("https://klasma.github.io/Logging_0760/artfynd/S 616-2023 artfynd.xlsx", "S 616-2023")</f>
        <v/>
      </c>
      <c r="W53">
        <f>HYPERLINK("https://klasma.github.io/Logging_0760/kartor/S 616-2023 karta.png", "S 616-2023")</f>
        <v/>
      </c>
      <c r="Y53">
        <f>HYPERLINK("https://klasma.github.io/Logging_0760/klagomål/S 616-2023 FSC-klagomål.docx", "S 616-2023")</f>
        <v/>
      </c>
      <c r="Z53">
        <f>HYPERLINK("https://klasma.github.io/Logging_0760/klagomålsmail/S 616-2023 FSC-klagomål mail.docx", "S 616-2023")</f>
        <v/>
      </c>
      <c r="AA53">
        <f>HYPERLINK("https://klasma.github.io/Logging_0760/tillsyn/S 616-2023 tillsynsbegäran.docx", "S 616-2023")</f>
        <v/>
      </c>
      <c r="AB53">
        <f>HYPERLINK("https://klasma.github.io/Logging_0760/tillsynsmail/S 616-2023 tillsynsbegäran mail.docx", "S 616-2023")</f>
        <v/>
      </c>
      <c r="AC53">
        <f>HYPERLINK("https://klasma.github.io/Logging_0760/fåglar/S 616-2023 prioriterade fågelarter.docx", "S 616-2023")</f>
        <v/>
      </c>
    </row>
    <row r="54" ht="15" customHeight="1">
      <c r="A54" t="inlineStr">
        <is>
          <t>S 7923-2021</t>
        </is>
      </c>
      <c r="B54" t="inlineStr">
        <is>
          <t>samrådsanmälan</t>
        </is>
      </c>
      <c r="C54" t="inlineStr">
        <is>
          <t>Annan skogsbruksåtgärd</t>
        </is>
      </c>
      <c r="D54" s="1" t="n">
        <v>44484</v>
      </c>
      <c r="E54" s="1" t="n">
        <v>46218</v>
      </c>
      <c r="F54" t="inlineStr">
        <is>
          <t>KRONOBERGS LÄN</t>
        </is>
      </c>
      <c r="G54" t="inlineStr">
        <is>
          <t>UPPVIDINGE</t>
        </is>
      </c>
      <c r="H54" t="inlineStr">
        <is>
          <t>Sveaskog</t>
        </is>
      </c>
      <c r="I54" t="n">
        <v>3.9</v>
      </c>
      <c r="J54" t="n">
        <v>0</v>
      </c>
      <c r="K54" t="n">
        <v>0</v>
      </c>
      <c r="L54" t="n">
        <v>1</v>
      </c>
      <c r="M54" t="n">
        <v>1</v>
      </c>
      <c r="N54" t="n">
        <v>0</v>
      </c>
      <c r="O54" t="n">
        <v>0</v>
      </c>
      <c r="P54" t="n">
        <v>0</v>
      </c>
      <c r="Q54" t="n">
        <v>2</v>
      </c>
      <c r="R54" t="n">
        <v>1</v>
      </c>
      <c r="S54" t="n">
        <v>2</v>
      </c>
      <c r="T54" t="n">
        <v>2</v>
      </c>
      <c r="U54" s="2" t="inlineStr">
        <is>
          <t>Slåttergubbe
Spindelört</t>
        </is>
      </c>
      <c r="V54">
        <f>HYPERLINK("https://klasma.github.io/Logging_0760/artfynd/S 7923-2021 artfynd.xlsx", "S 7923-2021")</f>
        <v/>
      </c>
      <c r="W54">
        <f>HYPERLINK("https://klasma.github.io/Logging_0760/kartor/S 7923-2021 karta.png", "S 7923-2021")</f>
        <v/>
      </c>
      <c r="Y54">
        <f>HYPERLINK("https://klasma.github.io/Logging_0760/klagomål/S 7923-2021 FSC-klagomål.docx", "S 7923-2021")</f>
        <v/>
      </c>
      <c r="Z54">
        <f>HYPERLINK("https://klasma.github.io/Logging_0760/klagomålsmail/S 7923-2021 FSC-klagomål mail.docx", "S 7923-2021")</f>
        <v/>
      </c>
      <c r="AA54">
        <f>HYPERLINK("https://klasma.github.io/Logging_0760/tillsyn/S 7923-2021 tillsynsbegäran.docx", "S 7923-2021")</f>
        <v/>
      </c>
      <c r="AB54">
        <f>HYPERLINK("https://klasma.github.io/Logging_0760/tillsynsmail/S 7923-2021 tillsynsbegäran mail.docx", "S 7923-2021")</f>
        <v/>
      </c>
    </row>
    <row r="55" ht="15" customHeight="1">
      <c r="A55" t="inlineStr">
        <is>
          <t>S 1485-2025</t>
        </is>
      </c>
      <c r="B55" t="inlineStr">
        <is>
          <t>samrådsanmälan</t>
        </is>
      </c>
      <c r="C55" t="inlineStr">
        <is>
          <t>Askåterföring</t>
        </is>
      </c>
      <c r="D55" s="1" t="n">
        <v>45789</v>
      </c>
      <c r="E55" s="1" t="n">
        <v>46218</v>
      </c>
      <c r="F55" t="inlineStr">
        <is>
          <t>KRONOBERGS LÄN</t>
        </is>
      </c>
      <c r="G55" t="inlineStr">
        <is>
          <t>UPPVIDINGE</t>
        </is>
      </c>
      <c r="H55" t="inlineStr">
        <is>
          <t>Sveaskog</t>
        </is>
      </c>
      <c r="I55" t="n">
        <v>273.9</v>
      </c>
      <c r="J55" t="n">
        <v>2</v>
      </c>
      <c r="K55" t="n">
        <v>0</v>
      </c>
      <c r="L55" t="n">
        <v>0</v>
      </c>
      <c r="M55" t="n">
        <v>1</v>
      </c>
      <c r="N55" t="n">
        <v>0</v>
      </c>
      <c r="O55" t="n">
        <v>0</v>
      </c>
      <c r="P55" t="n">
        <v>0</v>
      </c>
      <c r="Q55" t="n">
        <v>1</v>
      </c>
      <c r="R55" t="n">
        <v>1</v>
      </c>
      <c r="S55" t="n">
        <v>2</v>
      </c>
      <c r="T55" t="n">
        <v>2</v>
      </c>
      <c r="U55" s="2" t="inlineStr">
        <is>
          <t>Knärot
Revlummer</t>
        </is>
      </c>
      <c r="V55">
        <f>HYPERLINK("https://klasma.github.io/Logging_0760/artfynd/S 1485-2025 artfynd.xlsx", "S 1485-2025")</f>
        <v/>
      </c>
      <c r="W55">
        <f>HYPERLINK("https://klasma.github.io/Logging_0760/kartor/S 1485-2025 karta.png", "S 1485-2025")</f>
        <v/>
      </c>
      <c r="X55">
        <f>HYPERLINK("https://klasma.github.io/Logging_0760/knärot/S 1485-2025 karta knärot.png", "S 1485-2025")</f>
        <v/>
      </c>
      <c r="Y55">
        <f>HYPERLINK("https://klasma.github.io/Logging_0760/klagomål/S 1485-2025 FSC-klagomål.docx", "S 1485-2025")</f>
        <v/>
      </c>
      <c r="Z55">
        <f>HYPERLINK("https://klasma.github.io/Logging_0760/klagomålsmail/S 1485-2025 FSC-klagomål mail.docx", "S 1485-2025")</f>
        <v/>
      </c>
      <c r="AA55">
        <f>HYPERLINK("https://klasma.github.io/Logging_0760/tillsyn/S 1485-2025 tillsynsbegäran.docx", "S 1485-2025")</f>
        <v/>
      </c>
      <c r="AB55">
        <f>HYPERLINK("https://klasma.github.io/Logging_0760/tillsynsmail/S 1485-2025 tillsynsbegäran mail.docx", "S 1485-2025")</f>
        <v/>
      </c>
    </row>
    <row r="56" ht="15" customHeight="1">
      <c r="A56" t="inlineStr">
        <is>
          <t>A 25926-2022</t>
        </is>
      </c>
      <c r="B56" t="inlineStr">
        <is>
          <t>avverkningsanmälan</t>
        </is>
      </c>
      <c r="C56" t="inlineStr">
        <is>
          <t>Föryngringsavverkning</t>
        </is>
      </c>
      <c r="D56" s="1" t="n">
        <v>44734</v>
      </c>
      <c r="E56" s="1" t="n">
        <v>46218</v>
      </c>
      <c r="F56" t="inlineStr">
        <is>
          <t>KRONOBERGS LÄN</t>
        </is>
      </c>
      <c r="G56" t="inlineStr">
        <is>
          <t>UPPVIDINGE</t>
        </is>
      </c>
      <c r="H56" t="inlineStr">
        <is>
          <t>Sveaskog</t>
        </is>
      </c>
      <c r="I56" t="n">
        <v>1.3</v>
      </c>
      <c r="J56" t="n">
        <v>0</v>
      </c>
      <c r="K56" t="n">
        <v>0</v>
      </c>
      <c r="L56" t="n">
        <v>1</v>
      </c>
      <c r="M56" t="n">
        <v>0</v>
      </c>
      <c r="N56" t="n">
        <v>0</v>
      </c>
      <c r="O56" t="n">
        <v>0</v>
      </c>
      <c r="P56" t="n">
        <v>0</v>
      </c>
      <c r="Q56" t="n">
        <v>1</v>
      </c>
      <c r="R56" t="n">
        <v>0</v>
      </c>
      <c r="S56" t="n">
        <v>1</v>
      </c>
      <c r="T56" t="n">
        <v>1</v>
      </c>
      <c r="U56" s="2" t="inlineStr">
        <is>
          <t>Dropptaggsvamp</t>
        </is>
      </c>
      <c r="V56">
        <f>HYPERLINK("https://klasma.github.io/Logging_0760/artfynd/A 25926-2022 artfynd.xlsx", "A 25926-2022")</f>
        <v/>
      </c>
      <c r="W56">
        <f>HYPERLINK("https://klasma.github.io/Logging_0760/kartor/A 25926-2022 karta.png", "A 25926-2022")</f>
        <v/>
      </c>
      <c r="Y56">
        <f>HYPERLINK("https://klasma.github.io/Logging_0760/klagomål/A 25926-2022 FSC-klagomål.docx", "A 25926-2022")</f>
        <v/>
      </c>
      <c r="Z56">
        <f>HYPERLINK("https://klasma.github.io/Logging_0760/klagomålsmail/A 25926-2022 FSC-klagomål mail.docx", "A 25926-2022")</f>
        <v/>
      </c>
      <c r="AA56">
        <f>HYPERLINK("https://klasma.github.io/Logging_0760/tillsyn/A 25926-2022 tillsynsbegäran.docx", "A 25926-2022")</f>
        <v/>
      </c>
      <c r="AB56">
        <f>HYPERLINK("https://klasma.github.io/Logging_0760/tillsynsmail/A 25926-2022 tillsynsbegäran mail.docx", "A 25926-2022")</f>
        <v/>
      </c>
    </row>
    <row r="57" ht="15" customHeight="1">
      <c r="A57" t="inlineStr">
        <is>
          <t>A 33348-2022</t>
        </is>
      </c>
      <c r="B57" t="inlineStr">
        <is>
          <t>avverkningsanmälan</t>
        </is>
      </c>
      <c r="C57" t="inlineStr">
        <is>
          <t>Föryngringsavverkning</t>
        </is>
      </c>
      <c r="D57" s="1" t="n">
        <v>44788</v>
      </c>
      <c r="E57" s="1" t="n">
        <v>46218</v>
      </c>
      <c r="F57" t="inlineStr">
        <is>
          <t>KRONOBERGS LÄN</t>
        </is>
      </c>
      <c r="G57" t="inlineStr">
        <is>
          <t>UPPVIDINGE</t>
        </is>
      </c>
      <c r="I57" t="n">
        <v>2.3</v>
      </c>
      <c r="J57" t="n">
        <v>0</v>
      </c>
      <c r="K57" t="n">
        <v>1</v>
      </c>
      <c r="L57" t="n">
        <v>0</v>
      </c>
      <c r="M57" t="n">
        <v>0</v>
      </c>
      <c r="N57" t="n">
        <v>0</v>
      </c>
      <c r="O57" t="n">
        <v>0</v>
      </c>
      <c r="P57" t="n">
        <v>0</v>
      </c>
      <c r="Q57" t="n">
        <v>0</v>
      </c>
      <c r="R57" t="n">
        <v>0</v>
      </c>
      <c r="S57" t="n">
        <v>1</v>
      </c>
      <c r="T57" t="n">
        <v>1</v>
      </c>
      <c r="U57" s="2" t="inlineStr">
        <is>
          <t>Blåmossa</t>
        </is>
      </c>
      <c r="V57">
        <f>HYPERLINK("https://klasma.github.io/Logging_0760/artfynd/A 33348-2022 artfynd.xlsx", "A 33348-2022")</f>
        <v/>
      </c>
      <c r="W57">
        <f>HYPERLINK("https://klasma.github.io/Logging_0760/kartor/A 33348-2022 karta.png", "A 33348-2022")</f>
        <v/>
      </c>
      <c r="Y57">
        <f>HYPERLINK("https://klasma.github.io/Logging_0760/klagomål/A 33348-2022 FSC-klagomål.docx", "A 33348-2022")</f>
        <v/>
      </c>
      <c r="Z57">
        <f>HYPERLINK("https://klasma.github.io/Logging_0760/klagomålsmail/A 33348-2022 FSC-klagomål mail.docx", "A 33348-2022")</f>
        <v/>
      </c>
      <c r="AA57">
        <f>HYPERLINK("https://klasma.github.io/Logging_0760/tillsyn/A 33348-2022 tillsynsbegäran.docx", "A 33348-2022")</f>
        <v/>
      </c>
      <c r="AB57">
        <f>HYPERLINK("https://klasma.github.io/Logging_0760/tillsynsmail/A 33348-2022 tillsynsbegäran mail.docx", "A 33348-2022")</f>
        <v/>
      </c>
    </row>
    <row r="58" ht="15" customHeight="1">
      <c r="A58" t="inlineStr">
        <is>
          <t>A 41652-2022</t>
        </is>
      </c>
      <c r="B58" t="inlineStr">
        <is>
          <t>avverkningsanmälan</t>
        </is>
      </c>
      <c r="C58" t="inlineStr">
        <is>
          <t>Föryngringsavverkning</t>
        </is>
      </c>
      <c r="D58" s="1" t="n">
        <v>44827</v>
      </c>
      <c r="E58" s="1" t="n">
        <v>46218</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s="2" t="inlineStr">
        <is>
          <t>Sankt pers nycklar</t>
        </is>
      </c>
      <c r="V58">
        <f>HYPERLINK("https://klasma.github.io/Logging_0760/artfynd/A 41652-2022 artfynd.xlsx", "A 41652-2022")</f>
        <v/>
      </c>
      <c r="W58">
        <f>HYPERLINK("https://klasma.github.io/Logging_0760/kartor/A 41652-2022 karta.png", "A 41652-2022")</f>
        <v/>
      </c>
      <c r="Y58">
        <f>HYPERLINK("https://klasma.github.io/Logging_0760/klagomål/A 41652-2022 FSC-klagomål.docx", "A 41652-2022")</f>
        <v/>
      </c>
      <c r="Z58">
        <f>HYPERLINK("https://klasma.github.io/Logging_0760/klagomålsmail/A 41652-2022 FSC-klagomål mail.docx", "A 41652-2022")</f>
        <v/>
      </c>
      <c r="AA58">
        <f>HYPERLINK("https://klasma.github.io/Logging_0760/tillsyn/A 41652-2022 tillsynsbegäran.docx", "A 41652-2022")</f>
        <v/>
      </c>
      <c r="AB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46218</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s="2" t="inlineStr">
        <is>
          <t>Kungsfågel</t>
        </is>
      </c>
      <c r="V59">
        <f>HYPERLINK("https://klasma.github.io/Logging_0760/artfynd/A 18896-2022 artfynd.xlsx", "A 18896-2022")</f>
        <v/>
      </c>
      <c r="W59">
        <f>HYPERLINK("https://klasma.github.io/Logging_0760/kartor/A 18896-2022 karta.png", "A 18896-2022")</f>
        <v/>
      </c>
      <c r="Y59">
        <f>HYPERLINK("https://klasma.github.io/Logging_0760/klagomål/A 18896-2022 FSC-klagomål.docx", "A 18896-2022")</f>
        <v/>
      </c>
      <c r="Z59">
        <f>HYPERLINK("https://klasma.github.io/Logging_0760/klagomålsmail/A 18896-2022 FSC-klagomål mail.docx", "A 18896-2022")</f>
        <v/>
      </c>
      <c r="AA59">
        <f>HYPERLINK("https://klasma.github.io/Logging_0760/tillsyn/A 18896-2022 tillsynsbegäran.docx", "A 18896-2022")</f>
        <v/>
      </c>
      <c r="AB59">
        <f>HYPERLINK("https://klasma.github.io/Logging_0760/tillsynsmail/A 18896-2022 tillsynsbegäran mail.docx", "A 18896-2022")</f>
        <v/>
      </c>
    </row>
    <row r="60" ht="15" customHeight="1">
      <c r="A60" t="inlineStr">
        <is>
          <t>A 3677-2023</t>
        </is>
      </c>
      <c r="B60" t="inlineStr">
        <is>
          <t>avverkningsanmälan</t>
        </is>
      </c>
      <c r="C60" t="inlineStr">
        <is>
          <t>Föryngringsavverkning</t>
        </is>
      </c>
      <c r="D60" s="1" t="n">
        <v>44950</v>
      </c>
      <c r="E60" s="1" t="n">
        <v>46218</v>
      </c>
      <c r="F60" t="inlineStr">
        <is>
          <t>KRONOBERGS LÄN</t>
        </is>
      </c>
      <c r="G60" t="inlineStr">
        <is>
          <t>UPPVIDINGE</t>
        </is>
      </c>
      <c r="I60" t="n">
        <v>13.4</v>
      </c>
      <c r="J60" t="n">
        <v>0</v>
      </c>
      <c r="K60" t="n">
        <v>1</v>
      </c>
      <c r="L60" t="n">
        <v>0</v>
      </c>
      <c r="M60" t="n">
        <v>0</v>
      </c>
      <c r="N60" t="n">
        <v>0</v>
      </c>
      <c r="O60" t="n">
        <v>0</v>
      </c>
      <c r="P60" t="n">
        <v>0</v>
      </c>
      <c r="Q60" t="n">
        <v>0</v>
      </c>
      <c r="R60" t="n">
        <v>0</v>
      </c>
      <c r="S60" t="n">
        <v>1</v>
      </c>
      <c r="T60" t="n">
        <v>1</v>
      </c>
      <c r="U60" s="2" t="inlineStr">
        <is>
          <t>Blomkålssvamp</t>
        </is>
      </c>
      <c r="V60">
        <f>HYPERLINK("https://klasma.github.io/Logging_0760/artfynd/A 3677-2023 artfynd.xlsx", "A 3677-2023")</f>
        <v/>
      </c>
      <c r="W60">
        <f>HYPERLINK("https://klasma.github.io/Logging_0760/kartor/A 3677-2023 karta.png", "A 3677-2023")</f>
        <v/>
      </c>
      <c r="Y60">
        <f>HYPERLINK("https://klasma.github.io/Logging_0760/klagomål/A 3677-2023 FSC-klagomål.docx", "A 3677-2023")</f>
        <v/>
      </c>
      <c r="Z60">
        <f>HYPERLINK("https://klasma.github.io/Logging_0760/klagomålsmail/A 3677-2023 FSC-klagomål mail.docx", "A 3677-2023")</f>
        <v/>
      </c>
      <c r="AA60">
        <f>HYPERLINK("https://klasma.github.io/Logging_0760/tillsyn/A 3677-2023 tillsynsbegäran.docx", "A 3677-2023")</f>
        <v/>
      </c>
      <c r="AB60">
        <f>HYPERLINK("https://klasma.github.io/Logging_0760/tillsynsmail/A 3677-2023 tillsynsbegäran mail.docx", "A 3677-2023")</f>
        <v/>
      </c>
    </row>
    <row r="61" ht="15" customHeight="1">
      <c r="A61" t="inlineStr">
        <is>
          <t>A 30110-2022</t>
        </is>
      </c>
      <c r="B61" t="inlineStr">
        <is>
          <t>avverkningsanmälan</t>
        </is>
      </c>
      <c r="C61" t="inlineStr">
        <is>
          <t>Föryngringsavverkning</t>
        </is>
      </c>
      <c r="D61" s="1" t="n">
        <v>44757</v>
      </c>
      <c r="E61" s="1" t="n">
        <v>46218</v>
      </c>
      <c r="F61" t="inlineStr">
        <is>
          <t>KRONOBERGS LÄN</t>
        </is>
      </c>
      <c r="G61" t="inlineStr">
        <is>
          <t>UPPVIDINGE</t>
        </is>
      </c>
      <c r="H61" t="inlineStr">
        <is>
          <t>Sveaskog</t>
        </is>
      </c>
      <c r="I61" t="n">
        <v>1</v>
      </c>
      <c r="J61" t="n">
        <v>1</v>
      </c>
      <c r="K61" t="n">
        <v>0</v>
      </c>
      <c r="L61" t="n">
        <v>0</v>
      </c>
      <c r="M61" t="n">
        <v>0</v>
      </c>
      <c r="N61" t="n">
        <v>0</v>
      </c>
      <c r="O61" t="n">
        <v>0</v>
      </c>
      <c r="P61" t="n">
        <v>0</v>
      </c>
      <c r="Q61" t="n">
        <v>0</v>
      </c>
      <c r="R61" t="n">
        <v>0</v>
      </c>
      <c r="S61" t="n">
        <v>1</v>
      </c>
      <c r="T61" t="n">
        <v>1</v>
      </c>
      <c r="U61" s="2" t="inlineStr">
        <is>
          <t>Tjäder</t>
        </is>
      </c>
      <c r="V61">
        <f>HYPERLINK("https://klasma.github.io/Logging_0760/artfynd/A 30110-2022 artfynd.xlsx", "A 30110-2022")</f>
        <v/>
      </c>
      <c r="W61">
        <f>HYPERLINK("https://klasma.github.io/Logging_0760/kartor/A 30110-2022 karta.png", "A 30110-2022")</f>
        <v/>
      </c>
      <c r="Y61">
        <f>HYPERLINK("https://klasma.github.io/Logging_0760/klagomål/A 30110-2022 FSC-klagomål.docx", "A 30110-2022")</f>
        <v/>
      </c>
      <c r="Z61">
        <f>HYPERLINK("https://klasma.github.io/Logging_0760/klagomålsmail/A 30110-2022 FSC-klagomål mail.docx", "A 30110-2022")</f>
        <v/>
      </c>
      <c r="AA61">
        <f>HYPERLINK("https://klasma.github.io/Logging_0760/tillsyn/A 30110-2022 tillsynsbegäran.docx", "A 30110-2022")</f>
        <v/>
      </c>
      <c r="AB61">
        <f>HYPERLINK("https://klasma.github.io/Logging_0760/tillsynsmail/A 30110-2022 tillsynsbegäran mail.docx", "A 30110-2022")</f>
        <v/>
      </c>
      <c r="AC61">
        <f>HYPERLINK("https://klasma.github.io/Logging_0760/fåglar/A 30110-2022 prioriterade fågelarter.docx", "A 30110-2022")</f>
        <v/>
      </c>
    </row>
    <row r="62" ht="15" customHeight="1">
      <c r="A62" t="inlineStr">
        <is>
          <t>A 40839-2025</t>
        </is>
      </c>
      <c r="B62" t="inlineStr">
        <is>
          <t>avverkningsanmälan</t>
        </is>
      </c>
      <c r="C62" t="inlineStr">
        <is>
          <t>Föryngringsavverkning</t>
        </is>
      </c>
      <c r="D62" s="1" t="n">
        <v>45897</v>
      </c>
      <c r="E62" s="1" t="n">
        <v>46218</v>
      </c>
      <c r="F62" t="inlineStr">
        <is>
          <t>KRONOBERGS LÄN</t>
        </is>
      </c>
      <c r="G62" t="inlineStr">
        <is>
          <t>UPPVIDINGE</t>
        </is>
      </c>
      <c r="I62" t="n">
        <v>1.5</v>
      </c>
      <c r="J62" t="n">
        <v>0</v>
      </c>
      <c r="K62" t="n">
        <v>0</v>
      </c>
      <c r="L62" t="n">
        <v>1</v>
      </c>
      <c r="M62" t="n">
        <v>0</v>
      </c>
      <c r="N62" t="n">
        <v>0</v>
      </c>
      <c r="O62" t="n">
        <v>0</v>
      </c>
      <c r="P62" t="n">
        <v>0</v>
      </c>
      <c r="Q62" t="n">
        <v>1</v>
      </c>
      <c r="R62" t="n">
        <v>0</v>
      </c>
      <c r="S62" t="n">
        <v>1</v>
      </c>
      <c r="T62" t="n">
        <v>3</v>
      </c>
      <c r="U62" s="2" t="inlineStr">
        <is>
          <t>Fjällig taggsvamp s.str.</t>
        </is>
      </c>
      <c r="V62">
        <f>HYPERLINK("https://klasma.github.io/Logging_0760/artfynd/A 40839-2025 artfynd.xlsx", "A 40839-2025")</f>
        <v/>
      </c>
      <c r="W62">
        <f>HYPERLINK("https://klasma.github.io/Logging_0760/kartor/A 40839-2025 karta.png", "A 40839-2025")</f>
        <v/>
      </c>
      <c r="Y62">
        <f>HYPERLINK("https://klasma.github.io/Logging_0760/klagomål/A 40839-2025 FSC-klagomål.docx", "A 40839-2025")</f>
        <v/>
      </c>
      <c r="Z62">
        <f>HYPERLINK("https://klasma.github.io/Logging_0760/klagomålsmail/A 40839-2025 FSC-klagomål mail.docx", "A 40839-2025")</f>
        <v/>
      </c>
      <c r="AA62">
        <f>HYPERLINK("https://klasma.github.io/Logging_0760/tillsyn/A 40839-2025 tillsynsbegäran.docx", "A 40839-2025")</f>
        <v/>
      </c>
      <c r="AB62">
        <f>HYPERLINK("https://klasma.github.io/Logging_0760/tillsynsmail/A 40839-2025 tillsynsbegäran mail.docx", "A 40839-2025")</f>
        <v/>
      </c>
    </row>
    <row r="63" ht="15" customHeight="1">
      <c r="A63" t="inlineStr">
        <is>
          <t>A 49577-2025</t>
        </is>
      </c>
      <c r="B63" t="inlineStr">
        <is>
          <t>avverkningsanmälan</t>
        </is>
      </c>
      <c r="C63" t="inlineStr">
        <is>
          <t>Föryngringsavverkning</t>
        </is>
      </c>
      <c r="D63" s="1" t="n">
        <v>45939</v>
      </c>
      <c r="E63" s="1" t="n">
        <v>46218</v>
      </c>
      <c r="F63" t="inlineStr">
        <is>
          <t>KRONOBERGS LÄN</t>
        </is>
      </c>
      <c r="G63" t="inlineStr">
        <is>
          <t>UPPVIDINGE</t>
        </is>
      </c>
      <c r="I63" t="n">
        <v>0.5</v>
      </c>
      <c r="J63" t="n">
        <v>0</v>
      </c>
      <c r="K63" t="n">
        <v>0</v>
      </c>
      <c r="L63" t="n">
        <v>0</v>
      </c>
      <c r="M63" t="n">
        <v>1</v>
      </c>
      <c r="N63" t="n">
        <v>0</v>
      </c>
      <c r="O63" t="n">
        <v>0</v>
      </c>
      <c r="P63" t="n">
        <v>0</v>
      </c>
      <c r="Q63" t="n">
        <v>1</v>
      </c>
      <c r="R63" t="n">
        <v>1</v>
      </c>
      <c r="S63" t="n">
        <v>1</v>
      </c>
      <c r="T63" t="n">
        <v>1</v>
      </c>
      <c r="U63" s="2" t="inlineStr">
        <is>
          <t>Slåttergubbe</t>
        </is>
      </c>
      <c r="V63">
        <f>HYPERLINK("https://klasma.github.io/Logging_0760/artfynd/A 49577-2025 artfynd.xlsx", "A 49577-2025")</f>
        <v/>
      </c>
      <c r="W63">
        <f>HYPERLINK("https://klasma.github.io/Logging_0760/kartor/A 49577-2025 karta.png", "A 49577-2025")</f>
        <v/>
      </c>
      <c r="Y63">
        <f>HYPERLINK("https://klasma.github.io/Logging_0760/klagomål/A 49577-2025 FSC-klagomål.docx", "A 49577-2025")</f>
        <v/>
      </c>
      <c r="Z63">
        <f>HYPERLINK("https://klasma.github.io/Logging_0760/klagomålsmail/A 49577-2025 FSC-klagomål mail.docx", "A 49577-2025")</f>
        <v/>
      </c>
      <c r="AA63">
        <f>HYPERLINK("https://klasma.github.io/Logging_0760/tillsyn/A 49577-2025 tillsynsbegäran.docx", "A 49577-2025")</f>
        <v/>
      </c>
      <c r="AB63">
        <f>HYPERLINK("https://klasma.github.io/Logging_0760/tillsynsmail/A 49577-2025 tillsynsbegäran mail.docx", "A 49577-2025")</f>
        <v/>
      </c>
    </row>
    <row r="64" ht="15" customHeight="1">
      <c r="A64" t="inlineStr">
        <is>
          <t>A 12184-2023</t>
        </is>
      </c>
      <c r="B64" t="inlineStr">
        <is>
          <t>avverkningsanmälan</t>
        </is>
      </c>
      <c r="C64" t="inlineStr">
        <is>
          <t>Föryngringsavverkning</t>
        </is>
      </c>
      <c r="D64" s="1" t="n">
        <v>44998</v>
      </c>
      <c r="E64" s="1" t="n">
        <v>46218</v>
      </c>
      <c r="F64" t="inlineStr">
        <is>
          <t>KRONOBERGS LÄN</t>
        </is>
      </c>
      <c r="G64" t="inlineStr">
        <is>
          <t>UPPVIDINGE</t>
        </is>
      </c>
      <c r="I64" t="n">
        <v>0.6</v>
      </c>
      <c r="J64" t="n">
        <v>0</v>
      </c>
      <c r="K64" t="n">
        <v>0</v>
      </c>
      <c r="L64" t="n">
        <v>1</v>
      </c>
      <c r="M64" t="n">
        <v>0</v>
      </c>
      <c r="N64" t="n">
        <v>0</v>
      </c>
      <c r="O64" t="n">
        <v>0</v>
      </c>
      <c r="P64" t="n">
        <v>0</v>
      </c>
      <c r="Q64" t="n">
        <v>1</v>
      </c>
      <c r="R64" t="n">
        <v>0</v>
      </c>
      <c r="S64" t="n">
        <v>1</v>
      </c>
      <c r="T64" t="n">
        <v>1</v>
      </c>
      <c r="U64" s="2" t="inlineStr">
        <is>
          <t>Fjällig taggsvamp s.str.</t>
        </is>
      </c>
      <c r="V64">
        <f>HYPERLINK("https://klasma.github.io/Logging_0760/artfynd/A 12184-2023 artfynd.xlsx", "A 12184-2023")</f>
        <v/>
      </c>
      <c r="W64">
        <f>HYPERLINK("https://klasma.github.io/Logging_0760/kartor/A 12184-2023 karta.png", "A 12184-2023")</f>
        <v/>
      </c>
      <c r="Y64">
        <f>HYPERLINK("https://klasma.github.io/Logging_0760/klagomål/A 12184-2023 FSC-klagomål.docx", "A 12184-2023")</f>
        <v/>
      </c>
      <c r="Z64">
        <f>HYPERLINK("https://klasma.github.io/Logging_0760/klagomålsmail/A 12184-2023 FSC-klagomål mail.docx", "A 12184-2023")</f>
        <v/>
      </c>
      <c r="AA64">
        <f>HYPERLINK("https://klasma.github.io/Logging_0760/tillsyn/A 12184-2023 tillsynsbegäran.docx", "A 12184-2023")</f>
        <v/>
      </c>
      <c r="AB64">
        <f>HYPERLINK("https://klasma.github.io/Logging_0760/tillsynsmail/A 12184-2023 tillsynsbegäran mail.docx", "A 12184-2023")</f>
        <v/>
      </c>
    </row>
    <row r="65" ht="15" customHeight="1">
      <c r="A65" t="inlineStr">
        <is>
          <t>A 32963-2024</t>
        </is>
      </c>
      <c r="B65" t="inlineStr">
        <is>
          <t>avverkningsanmälan</t>
        </is>
      </c>
      <c r="C65" t="inlineStr">
        <is>
          <t>Föryngringsavverkning</t>
        </is>
      </c>
      <c r="D65" s="1" t="n">
        <v>45517</v>
      </c>
      <c r="E65" s="1" t="n">
        <v>46218</v>
      </c>
      <c r="F65" t="inlineStr">
        <is>
          <t>KRONOBERGS LÄN</t>
        </is>
      </c>
      <c r="G65" t="inlineStr">
        <is>
          <t>UPPVIDINGE</t>
        </is>
      </c>
      <c r="I65" t="n">
        <v>4.9</v>
      </c>
      <c r="J65" t="n">
        <v>1</v>
      </c>
      <c r="K65" t="n">
        <v>0</v>
      </c>
      <c r="L65" t="n">
        <v>0</v>
      </c>
      <c r="M65" t="n">
        <v>0</v>
      </c>
      <c r="N65" t="n">
        <v>0</v>
      </c>
      <c r="O65" t="n">
        <v>0</v>
      </c>
      <c r="P65" t="n">
        <v>0</v>
      </c>
      <c r="Q65" t="n">
        <v>0</v>
      </c>
      <c r="R65" t="n">
        <v>0</v>
      </c>
      <c r="S65" t="n">
        <v>1</v>
      </c>
      <c r="T65" t="n">
        <v>1</v>
      </c>
      <c r="U65" s="2" t="inlineStr">
        <is>
          <t>Kungsfågel</t>
        </is>
      </c>
      <c r="V65">
        <f>HYPERLINK("https://klasma.github.io/Logging_0760/artfynd/A 32963-2024 artfynd.xlsx", "A 32963-2024")</f>
        <v/>
      </c>
      <c r="W65">
        <f>HYPERLINK("https://klasma.github.io/Logging_0760/kartor/A 32963-2024 karta.png", "A 32963-2024")</f>
        <v/>
      </c>
      <c r="Y65">
        <f>HYPERLINK("https://klasma.github.io/Logging_0760/klagomål/A 32963-2024 FSC-klagomål.docx", "A 32963-2024")</f>
        <v/>
      </c>
      <c r="Z65">
        <f>HYPERLINK("https://klasma.github.io/Logging_0760/klagomålsmail/A 32963-2024 FSC-klagomål mail.docx", "A 32963-2024")</f>
        <v/>
      </c>
      <c r="AA65">
        <f>HYPERLINK("https://klasma.github.io/Logging_0760/tillsyn/A 32963-2024 tillsynsbegäran.docx", "A 32963-2024")</f>
        <v/>
      </c>
      <c r="AB65">
        <f>HYPERLINK("https://klasma.github.io/Logging_0760/tillsynsmail/A 32963-2024 tillsynsbegäran mail.docx", "A 32963-2024")</f>
        <v/>
      </c>
    </row>
    <row r="66" ht="15" customHeight="1">
      <c r="A66" t="inlineStr">
        <is>
          <t>A 73118-2021</t>
        </is>
      </c>
      <c r="B66" t="inlineStr">
        <is>
          <t>avverkningsanmälan</t>
        </is>
      </c>
      <c r="C66" t="inlineStr">
        <is>
          <t>Föryngringsavverkning</t>
        </is>
      </c>
      <c r="D66" s="1" t="n">
        <v>44550</v>
      </c>
      <c r="E66" s="1" t="n">
        <v>46218</v>
      </c>
      <c r="F66" t="inlineStr">
        <is>
          <t>KRONOBERGS LÄN</t>
        </is>
      </c>
      <c r="G66" t="inlineStr">
        <is>
          <t>UPPVIDINGE</t>
        </is>
      </c>
      <c r="I66" t="n">
        <v>1.3</v>
      </c>
      <c r="J66" t="n">
        <v>1</v>
      </c>
      <c r="K66" t="n">
        <v>0</v>
      </c>
      <c r="L66" t="n">
        <v>0</v>
      </c>
      <c r="M66" t="n">
        <v>0</v>
      </c>
      <c r="N66" t="n">
        <v>0</v>
      </c>
      <c r="O66" t="n">
        <v>0</v>
      </c>
      <c r="P66" t="n">
        <v>0</v>
      </c>
      <c r="Q66" t="n">
        <v>0</v>
      </c>
      <c r="R66" t="n">
        <v>0</v>
      </c>
      <c r="S66" t="n">
        <v>1</v>
      </c>
      <c r="T66" t="n">
        <v>1</v>
      </c>
      <c r="U66" s="2" t="inlineStr">
        <is>
          <t>Mattlummer</t>
        </is>
      </c>
      <c r="V66">
        <f>HYPERLINK("https://klasma.github.io/Logging_0760/artfynd/A 73118-2021 artfynd.xlsx", "A 73118-2021")</f>
        <v/>
      </c>
      <c r="W66">
        <f>HYPERLINK("https://klasma.github.io/Logging_0760/kartor/A 73118-2021 karta.png", "A 73118-2021")</f>
        <v/>
      </c>
      <c r="Y66">
        <f>HYPERLINK("https://klasma.github.io/Logging_0760/klagomål/A 73118-2021 FSC-klagomål.docx", "A 73118-2021")</f>
        <v/>
      </c>
      <c r="Z66">
        <f>HYPERLINK("https://klasma.github.io/Logging_0760/klagomålsmail/A 73118-2021 FSC-klagomål mail.docx", "A 73118-2021")</f>
        <v/>
      </c>
      <c r="AA66">
        <f>HYPERLINK("https://klasma.github.io/Logging_0760/tillsyn/A 73118-2021 tillsynsbegäran.docx", "A 73118-2021")</f>
        <v/>
      </c>
      <c r="AB66">
        <f>HYPERLINK("https://klasma.github.io/Logging_0760/tillsynsmail/A 73118-2021 tillsynsbegäran mail.docx", "A 73118-2021")</f>
        <v/>
      </c>
    </row>
    <row r="67" ht="15" customHeight="1">
      <c r="A67" t="inlineStr">
        <is>
          <t>A 55799-2024</t>
        </is>
      </c>
      <c r="B67" t="inlineStr">
        <is>
          <t>avverkningsanmälan</t>
        </is>
      </c>
      <c r="C67" t="inlineStr">
        <is>
          <t>Avverkning för att bevara och utveckla /försöksver</t>
        </is>
      </c>
      <c r="D67" s="1" t="n">
        <v>45623</v>
      </c>
      <c r="E67" s="1" t="n">
        <v>46218</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s="2" t="inlineStr">
        <is>
          <t>Slåttergubbe</t>
        </is>
      </c>
      <c r="V67">
        <f>HYPERLINK("https://klasma.github.io/Logging_0760/artfynd/A 55799-2024 artfynd.xlsx", "A 55799-2024")</f>
        <v/>
      </c>
      <c r="W67">
        <f>HYPERLINK("https://klasma.github.io/Logging_0760/kartor/A 55799-2024 karta.png", "A 55799-2024")</f>
        <v/>
      </c>
      <c r="Y67">
        <f>HYPERLINK("https://klasma.github.io/Logging_0760/klagomål/A 55799-2024 FSC-klagomål.docx", "A 55799-2024")</f>
        <v/>
      </c>
      <c r="Z67">
        <f>HYPERLINK("https://klasma.github.io/Logging_0760/klagomålsmail/A 55799-2024 FSC-klagomål mail.docx", "A 55799-2024")</f>
        <v/>
      </c>
      <c r="AA67">
        <f>HYPERLINK("https://klasma.github.io/Logging_0760/tillsyn/A 55799-2024 tillsynsbegäran.docx", "A 55799-2024")</f>
        <v/>
      </c>
      <c r="AB67">
        <f>HYPERLINK("https://klasma.github.io/Logging_0760/tillsynsmail/A 55799-2024 tillsynsbegäran mail.docx", "A 55799-2024")</f>
        <v/>
      </c>
    </row>
    <row r="68" ht="15" customHeight="1">
      <c r="A68" t="inlineStr">
        <is>
          <t>A 48175-2022</t>
        </is>
      </c>
      <c r="B68" t="inlineStr">
        <is>
          <t>avverkningsanmälan</t>
        </is>
      </c>
      <c r="C68" t="inlineStr">
        <is>
          <t>Föryngringsavverkning</t>
        </is>
      </c>
      <c r="D68" s="1" t="n">
        <v>44858</v>
      </c>
      <c r="E68" s="1" t="n">
        <v>46218</v>
      </c>
      <c r="F68" t="inlineStr">
        <is>
          <t>KRONOBERGS LÄN</t>
        </is>
      </c>
      <c r="G68" t="inlineStr">
        <is>
          <t>UPPVIDINGE</t>
        </is>
      </c>
      <c r="I68" t="n">
        <v>0.6</v>
      </c>
      <c r="J68" t="n">
        <v>0</v>
      </c>
      <c r="K68" t="n">
        <v>0</v>
      </c>
      <c r="L68" t="n">
        <v>0</v>
      </c>
      <c r="M68" t="n">
        <v>1</v>
      </c>
      <c r="N68" t="n">
        <v>0</v>
      </c>
      <c r="O68" t="n">
        <v>0</v>
      </c>
      <c r="P68" t="n">
        <v>0</v>
      </c>
      <c r="Q68" t="n">
        <v>1</v>
      </c>
      <c r="R68" t="n">
        <v>1</v>
      </c>
      <c r="S68" t="n">
        <v>1</v>
      </c>
      <c r="T68" t="n">
        <v>1</v>
      </c>
      <c r="U68" s="2" t="inlineStr">
        <is>
          <t>Slåttergubbe</t>
        </is>
      </c>
      <c r="V68">
        <f>HYPERLINK("https://klasma.github.io/Logging_0760/artfynd/A 48175-2022 artfynd.xlsx", "A 48175-2022")</f>
        <v/>
      </c>
      <c r="W68">
        <f>HYPERLINK("https://klasma.github.io/Logging_0760/kartor/A 48175-2022 karta.png", "A 48175-2022")</f>
        <v/>
      </c>
      <c r="Y68">
        <f>HYPERLINK("https://klasma.github.io/Logging_0760/klagomål/A 48175-2022 FSC-klagomål.docx", "A 48175-2022")</f>
        <v/>
      </c>
      <c r="Z68">
        <f>HYPERLINK("https://klasma.github.io/Logging_0760/klagomålsmail/A 48175-2022 FSC-klagomål mail.docx", "A 48175-2022")</f>
        <v/>
      </c>
      <c r="AA68">
        <f>HYPERLINK("https://klasma.github.io/Logging_0760/tillsyn/A 48175-2022 tillsynsbegäran.docx", "A 48175-2022")</f>
        <v/>
      </c>
      <c r="AB68">
        <f>HYPERLINK("https://klasma.github.io/Logging_0760/tillsynsmail/A 48175-2022 tillsynsbegäran mail.docx", "A 48175-2022")</f>
        <v/>
      </c>
    </row>
    <row r="69" ht="15" customHeight="1">
      <c r="A69" t="inlineStr">
        <is>
          <t>A 3606-2024</t>
        </is>
      </c>
      <c r="B69" t="inlineStr">
        <is>
          <t>avverkningsanmälan</t>
        </is>
      </c>
      <c r="C69" t="inlineStr">
        <is>
          <t>Föryngringsavverkning</t>
        </is>
      </c>
      <c r="D69" s="1" t="n">
        <v>45320</v>
      </c>
      <c r="E69" s="1" t="n">
        <v>46218</v>
      </c>
      <c r="F69" t="inlineStr">
        <is>
          <t>KRONOBERGS LÄN</t>
        </is>
      </c>
      <c r="G69" t="inlineStr">
        <is>
          <t>UPPVIDINGE</t>
        </is>
      </c>
      <c r="I69" t="n">
        <v>0.5</v>
      </c>
      <c r="J69" t="n">
        <v>0</v>
      </c>
      <c r="K69" t="n">
        <v>0</v>
      </c>
      <c r="L69" t="n">
        <v>1</v>
      </c>
      <c r="M69" t="n">
        <v>0</v>
      </c>
      <c r="N69" t="n">
        <v>0</v>
      </c>
      <c r="O69" t="n">
        <v>0</v>
      </c>
      <c r="P69" t="n">
        <v>0</v>
      </c>
      <c r="Q69" t="n">
        <v>1</v>
      </c>
      <c r="R69" t="n">
        <v>0</v>
      </c>
      <c r="S69" t="n">
        <v>1</v>
      </c>
      <c r="T69" t="n">
        <v>1</v>
      </c>
      <c r="U69" s="2" t="inlineStr">
        <is>
          <t>Fjällig taggsvamp s.str.</t>
        </is>
      </c>
      <c r="V69">
        <f>HYPERLINK("https://klasma.github.io/Logging_0760/artfynd/A 3606-2024 artfynd.xlsx", "A 3606-2024")</f>
        <v/>
      </c>
      <c r="W69">
        <f>HYPERLINK("https://klasma.github.io/Logging_0760/kartor/A 3606-2024 karta.png", "A 3606-2024")</f>
        <v/>
      </c>
      <c r="Y69">
        <f>HYPERLINK("https://klasma.github.io/Logging_0760/klagomål/A 3606-2024 FSC-klagomål.docx", "A 3606-2024")</f>
        <v/>
      </c>
      <c r="Z69">
        <f>HYPERLINK("https://klasma.github.io/Logging_0760/klagomålsmail/A 3606-2024 FSC-klagomål mail.docx", "A 3606-2024")</f>
        <v/>
      </c>
      <c r="AA69">
        <f>HYPERLINK("https://klasma.github.io/Logging_0760/tillsyn/A 3606-2024 tillsynsbegäran.docx", "A 3606-2024")</f>
        <v/>
      </c>
      <c r="AB69">
        <f>HYPERLINK("https://klasma.github.io/Logging_0760/tillsynsmail/A 3606-2024 tillsynsbegäran mail.docx", "A 3606-2024")</f>
        <v/>
      </c>
    </row>
    <row r="70" ht="15" customHeight="1">
      <c r="A70" t="inlineStr">
        <is>
          <t>A 9714-2023</t>
        </is>
      </c>
      <c r="B70" t="inlineStr">
        <is>
          <t>avverkningsanmälan</t>
        </is>
      </c>
      <c r="C70" t="inlineStr">
        <is>
          <t>Föryngringsavverkning</t>
        </is>
      </c>
      <c r="D70" s="1" t="n">
        <v>44984</v>
      </c>
      <c r="E70" s="1" t="n">
        <v>46218</v>
      </c>
      <c r="F70" t="inlineStr">
        <is>
          <t>KRONOBERGS LÄN</t>
        </is>
      </c>
      <c r="G70" t="inlineStr">
        <is>
          <t>UPPVIDINGE</t>
        </is>
      </c>
      <c r="I70" t="n">
        <v>0.6</v>
      </c>
      <c r="J70" t="n">
        <v>1</v>
      </c>
      <c r="K70" t="n">
        <v>0</v>
      </c>
      <c r="L70" t="n">
        <v>0</v>
      </c>
      <c r="M70" t="n">
        <v>0</v>
      </c>
      <c r="N70" t="n">
        <v>0</v>
      </c>
      <c r="O70" t="n">
        <v>0</v>
      </c>
      <c r="P70" t="n">
        <v>0</v>
      </c>
      <c r="Q70" t="n">
        <v>0</v>
      </c>
      <c r="R70" t="n">
        <v>0</v>
      </c>
      <c r="S70" t="n">
        <v>1</v>
      </c>
      <c r="T70" t="n">
        <v>1</v>
      </c>
      <c r="U70" s="2" t="inlineStr">
        <is>
          <t>Grönsiska</t>
        </is>
      </c>
      <c r="V70">
        <f>HYPERLINK("https://klasma.github.io/Logging_0760/artfynd/A 9714-2023 artfynd.xlsx", "A 9714-2023")</f>
        <v/>
      </c>
      <c r="W70">
        <f>HYPERLINK("https://klasma.github.io/Logging_0760/kartor/A 9714-2023 karta.png", "A 9714-2023")</f>
        <v/>
      </c>
      <c r="Y70">
        <f>HYPERLINK("https://klasma.github.io/Logging_0760/klagomål/A 9714-2023 FSC-klagomål.docx", "A 9714-2023")</f>
        <v/>
      </c>
      <c r="Z70">
        <f>HYPERLINK("https://klasma.github.io/Logging_0760/klagomålsmail/A 9714-2023 FSC-klagomål mail.docx", "A 9714-2023")</f>
        <v/>
      </c>
      <c r="AA70">
        <f>HYPERLINK("https://klasma.github.io/Logging_0760/tillsyn/A 9714-2023 tillsynsbegäran.docx", "A 9714-2023")</f>
        <v/>
      </c>
      <c r="AB70">
        <f>HYPERLINK("https://klasma.github.io/Logging_0760/tillsynsmail/A 9714-2023 tillsynsbegäran mail.docx", "A 9714-2023")</f>
        <v/>
      </c>
    </row>
    <row r="71" ht="15" customHeight="1">
      <c r="A71" t="inlineStr">
        <is>
          <t>A 36242-2024</t>
        </is>
      </c>
      <c r="B71" t="inlineStr">
        <is>
          <t>avverkningsanmälan</t>
        </is>
      </c>
      <c r="C71" t="inlineStr">
        <is>
          <t>Avverkning för annat ändamål</t>
        </is>
      </c>
      <c r="D71" s="1" t="n">
        <v>45534</v>
      </c>
      <c r="E71" s="1" t="n">
        <v>46218</v>
      </c>
      <c r="F71" t="inlineStr">
        <is>
          <t>KRONOBERGS LÄN</t>
        </is>
      </c>
      <c r="G71" t="inlineStr">
        <is>
          <t>UPPVIDINGE</t>
        </is>
      </c>
      <c r="I71" t="n">
        <v>0.8</v>
      </c>
      <c r="J71" t="n">
        <v>0</v>
      </c>
      <c r="K71" t="n">
        <v>1</v>
      </c>
      <c r="L71" t="n">
        <v>0</v>
      </c>
      <c r="M71" t="n">
        <v>0</v>
      </c>
      <c r="N71" t="n">
        <v>0</v>
      </c>
      <c r="O71" t="n">
        <v>0</v>
      </c>
      <c r="P71" t="n">
        <v>0</v>
      </c>
      <c r="Q71" t="n">
        <v>0</v>
      </c>
      <c r="R71" t="n">
        <v>0</v>
      </c>
      <c r="S71" t="n">
        <v>1</v>
      </c>
      <c r="T71" t="n">
        <v>3</v>
      </c>
      <c r="U71" s="2" t="inlineStr">
        <is>
          <t>Sotlav</t>
        </is>
      </c>
      <c r="V71">
        <f>HYPERLINK("https://klasma.github.io/Logging_0760/artfynd/A 36242-2024 artfynd.xlsx", "A 36242-2024")</f>
        <v/>
      </c>
      <c r="W71">
        <f>HYPERLINK("https://klasma.github.io/Logging_0760/kartor/A 36242-2024 karta.png", "A 36242-2024")</f>
        <v/>
      </c>
      <c r="Y71">
        <f>HYPERLINK("https://klasma.github.io/Logging_0760/klagomål/A 36242-2024 FSC-klagomål.docx", "A 36242-2024")</f>
        <v/>
      </c>
      <c r="Z71">
        <f>HYPERLINK("https://klasma.github.io/Logging_0760/klagomålsmail/A 36242-2024 FSC-klagomål mail.docx", "A 36242-2024")</f>
        <v/>
      </c>
      <c r="AA71">
        <f>HYPERLINK("https://klasma.github.io/Logging_0760/tillsyn/A 36242-2024 tillsynsbegäran.docx", "A 36242-2024")</f>
        <v/>
      </c>
      <c r="AB71">
        <f>HYPERLINK("https://klasma.github.io/Logging_0760/tillsynsmail/A 36242-2024 tillsynsbegäran mail.docx", "A 36242-2024")</f>
        <v/>
      </c>
    </row>
    <row r="72" ht="15" customHeight="1">
      <c r="A72" t="inlineStr">
        <is>
          <t>A 15676-2022</t>
        </is>
      </c>
      <c r="B72" t="inlineStr">
        <is>
          <t>avverkningsanmälan</t>
        </is>
      </c>
      <c r="C72" t="inlineStr">
        <is>
          <t>Föryngringsavverkning</t>
        </is>
      </c>
      <c r="D72" s="1" t="n">
        <v>44663</v>
      </c>
      <c r="E72" s="1" t="n">
        <v>46218</v>
      </c>
      <c r="F72" t="inlineStr">
        <is>
          <t>KRONOBERGS LÄN</t>
        </is>
      </c>
      <c r="G72" t="inlineStr">
        <is>
          <t>UPPVIDINGE</t>
        </is>
      </c>
      <c r="I72" t="n">
        <v>1.5</v>
      </c>
      <c r="J72" t="n">
        <v>1</v>
      </c>
      <c r="K72" t="n">
        <v>0</v>
      </c>
      <c r="L72" t="n">
        <v>0</v>
      </c>
      <c r="M72" t="n">
        <v>1</v>
      </c>
      <c r="N72" t="n">
        <v>0</v>
      </c>
      <c r="O72" t="n">
        <v>0</v>
      </c>
      <c r="P72" t="n">
        <v>0</v>
      </c>
      <c r="Q72" t="n">
        <v>1</v>
      </c>
      <c r="R72" t="n">
        <v>1</v>
      </c>
      <c r="S72" t="n">
        <v>1</v>
      </c>
      <c r="T72" t="n">
        <v>2</v>
      </c>
      <c r="U72" s="2" t="inlineStr">
        <is>
          <t>Knärot</t>
        </is>
      </c>
      <c r="V72">
        <f>HYPERLINK("https://klasma.github.io/Logging_0760/artfynd/A 15676-2022 artfynd.xlsx", "A 15676-2022")</f>
        <v/>
      </c>
      <c r="W72">
        <f>HYPERLINK("https://klasma.github.io/Logging_0760/kartor/A 15676-2022 karta.png", "A 15676-2022")</f>
        <v/>
      </c>
      <c r="X72">
        <f>HYPERLINK("https://klasma.github.io/Logging_0760/knärot/A 15676-2022 karta knärot.png", "A 15676-2022")</f>
        <v/>
      </c>
      <c r="Y72">
        <f>HYPERLINK("https://klasma.github.io/Logging_0760/klagomål/A 15676-2022 FSC-klagomål.docx", "A 15676-2022")</f>
        <v/>
      </c>
      <c r="Z72">
        <f>HYPERLINK("https://klasma.github.io/Logging_0760/klagomålsmail/A 15676-2022 FSC-klagomål mail.docx", "A 15676-2022")</f>
        <v/>
      </c>
      <c r="AA72">
        <f>HYPERLINK("https://klasma.github.io/Logging_0760/tillsyn/A 15676-2022 tillsynsbegäran.docx", "A 15676-2022")</f>
        <v/>
      </c>
      <c r="AB72">
        <f>HYPERLINK("https://klasma.github.io/Logging_0760/tillsynsmail/A 15676-2022 tillsynsbegäran mail.docx", "A 15676-2022")</f>
        <v/>
      </c>
    </row>
    <row r="73" ht="15" customHeight="1">
      <c r="A73" t="inlineStr">
        <is>
          <t>A 28798-2025</t>
        </is>
      </c>
      <c r="B73" t="inlineStr">
        <is>
          <t>avverkningsanmälan</t>
        </is>
      </c>
      <c r="C73" t="inlineStr">
        <is>
          <t>Föryngringsavverkning</t>
        </is>
      </c>
      <c r="D73" s="1" t="n">
        <v>45820</v>
      </c>
      <c r="E73" s="1" t="n">
        <v>46218</v>
      </c>
      <c r="F73" t="inlineStr">
        <is>
          <t>KRONOBERGS LÄN</t>
        </is>
      </c>
      <c r="G73" t="inlineStr">
        <is>
          <t>UPPVIDINGE</t>
        </is>
      </c>
      <c r="I73" t="n">
        <v>1.2</v>
      </c>
      <c r="J73" t="n">
        <v>0</v>
      </c>
      <c r="K73" t="n">
        <v>0</v>
      </c>
      <c r="L73" t="n">
        <v>0</v>
      </c>
      <c r="M73" t="n">
        <v>1</v>
      </c>
      <c r="N73" t="n">
        <v>0</v>
      </c>
      <c r="O73" t="n">
        <v>0</v>
      </c>
      <c r="P73" t="n">
        <v>0</v>
      </c>
      <c r="Q73" t="n">
        <v>1</v>
      </c>
      <c r="R73" t="n">
        <v>1</v>
      </c>
      <c r="S73" t="n">
        <v>1</v>
      </c>
      <c r="T73" t="n">
        <v>1</v>
      </c>
      <c r="U73" s="2" t="inlineStr">
        <is>
          <t>Igelkott</t>
        </is>
      </c>
      <c r="V73">
        <f>HYPERLINK("https://klasma.github.io/Logging_0760/artfynd/A 28798-2025 artfynd.xlsx", "A 28798-2025")</f>
        <v/>
      </c>
      <c r="W73">
        <f>HYPERLINK("https://klasma.github.io/Logging_0760/kartor/A 28798-2025 karta.png", "A 28798-2025")</f>
        <v/>
      </c>
      <c r="Y73">
        <f>HYPERLINK("https://klasma.github.io/Logging_0760/klagomål/A 28798-2025 FSC-klagomål.docx", "A 28798-2025")</f>
        <v/>
      </c>
      <c r="Z73">
        <f>HYPERLINK("https://klasma.github.io/Logging_0760/klagomålsmail/A 28798-2025 FSC-klagomål mail.docx", "A 28798-2025")</f>
        <v/>
      </c>
      <c r="AA73">
        <f>HYPERLINK("https://klasma.github.io/Logging_0760/tillsyn/A 28798-2025 tillsynsbegäran.docx", "A 28798-2025")</f>
        <v/>
      </c>
      <c r="AB73">
        <f>HYPERLINK("https://klasma.github.io/Logging_0760/tillsynsmail/A 28798-2025 tillsynsbegäran mail.docx", "A 28798-2025")</f>
        <v/>
      </c>
    </row>
    <row r="74" ht="15" customHeight="1">
      <c r="A74" t="inlineStr">
        <is>
          <t>A 57813-2025</t>
        </is>
      </c>
      <c r="B74" t="inlineStr">
        <is>
          <t>avverkningsanmälan</t>
        </is>
      </c>
      <c r="C74" t="inlineStr">
        <is>
          <t>Föryngringsavverkning</t>
        </is>
      </c>
      <c r="D74" s="1" t="n">
        <v>45981</v>
      </c>
      <c r="E74" s="1" t="n">
        <v>46218</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s="2" t="inlineStr">
        <is>
          <t>Orre</t>
        </is>
      </c>
      <c r="V74">
        <f>HYPERLINK("https://klasma.github.io/Logging_0760/artfynd/A 57813-2025 artfynd.xlsx", "A 57813-2025")</f>
        <v/>
      </c>
      <c r="W74">
        <f>HYPERLINK("https://klasma.github.io/Logging_0760/kartor/A 57813-2025 karta.png", "A 57813-2025")</f>
        <v/>
      </c>
      <c r="Y74">
        <f>HYPERLINK("https://klasma.github.io/Logging_0760/klagomål/A 57813-2025 FSC-klagomål.docx", "A 57813-2025")</f>
        <v/>
      </c>
      <c r="Z74">
        <f>HYPERLINK("https://klasma.github.io/Logging_0760/klagomålsmail/A 57813-2025 FSC-klagomål mail.docx", "A 57813-2025")</f>
        <v/>
      </c>
      <c r="AA74">
        <f>HYPERLINK("https://klasma.github.io/Logging_0760/tillsyn/A 57813-2025 tillsynsbegäran.docx", "A 57813-2025")</f>
        <v/>
      </c>
      <c r="AB74">
        <f>HYPERLINK("https://klasma.github.io/Logging_0760/tillsynsmail/A 57813-2025 tillsynsbegäran mail.docx", "A 57813-2025")</f>
        <v/>
      </c>
      <c r="AC74">
        <f>HYPERLINK("https://klasma.github.io/Logging_0760/fåglar/A 57813-2025 prioriterade fågelarter.docx", "A 57813-2025")</f>
        <v/>
      </c>
    </row>
    <row r="75" ht="15" customHeight="1">
      <c r="A75" t="inlineStr">
        <is>
          <t>A 29643-2025</t>
        </is>
      </c>
      <c r="B75" t="inlineStr">
        <is>
          <t>avverkningsanmälan</t>
        </is>
      </c>
      <c r="C75" t="inlineStr">
        <is>
          <t>Föryngringsavverkning</t>
        </is>
      </c>
      <c r="D75" s="1" t="n">
        <v>45825</v>
      </c>
      <c r="E75" s="1" t="n">
        <v>46218</v>
      </c>
      <c r="F75" t="inlineStr">
        <is>
          <t>KRONOBERGS LÄN</t>
        </is>
      </c>
      <c r="G75" t="inlineStr">
        <is>
          <t>UPPVIDINGE</t>
        </is>
      </c>
      <c r="I75" t="n">
        <v>3.8</v>
      </c>
      <c r="J75" t="n">
        <v>1</v>
      </c>
      <c r="K75" t="n">
        <v>0</v>
      </c>
      <c r="L75" t="n">
        <v>1</v>
      </c>
      <c r="M75" t="n">
        <v>0</v>
      </c>
      <c r="N75" t="n">
        <v>0</v>
      </c>
      <c r="O75" t="n">
        <v>0</v>
      </c>
      <c r="P75" t="n">
        <v>0</v>
      </c>
      <c r="Q75" t="n">
        <v>1</v>
      </c>
      <c r="R75" t="n">
        <v>0</v>
      </c>
      <c r="S75" t="n">
        <v>1</v>
      </c>
      <c r="T75" t="n">
        <v>1</v>
      </c>
      <c r="U75" s="2" t="inlineStr">
        <is>
          <t>Nordfladdermus</t>
        </is>
      </c>
      <c r="V75">
        <f>HYPERLINK("https://klasma.github.io/Logging_0760/artfynd/A 29643-2025 artfynd.xlsx", "A 29643-2025")</f>
        <v/>
      </c>
      <c r="W75">
        <f>HYPERLINK("https://klasma.github.io/Logging_0760/kartor/A 29643-2025 karta.png", "A 29643-2025")</f>
        <v/>
      </c>
      <c r="Y75">
        <f>HYPERLINK("https://klasma.github.io/Logging_0760/klagomål/A 29643-2025 FSC-klagomål.docx", "A 29643-2025")</f>
        <v/>
      </c>
      <c r="Z75">
        <f>HYPERLINK("https://klasma.github.io/Logging_0760/klagomålsmail/A 29643-2025 FSC-klagomål mail.docx", "A 29643-2025")</f>
        <v/>
      </c>
      <c r="AA75">
        <f>HYPERLINK("https://klasma.github.io/Logging_0760/tillsyn/A 29643-2025 tillsynsbegäran.docx", "A 29643-2025")</f>
        <v/>
      </c>
      <c r="AB75">
        <f>HYPERLINK("https://klasma.github.io/Logging_0760/tillsynsmail/A 29643-2025 tillsynsbegäran mail.docx", "A 29643-2025")</f>
        <v/>
      </c>
    </row>
    <row r="76" ht="15" customHeight="1">
      <c r="A76" t="inlineStr">
        <is>
          <t>A 29988-2025</t>
        </is>
      </c>
      <c r="B76" t="inlineStr">
        <is>
          <t>avverkningsanmälan</t>
        </is>
      </c>
      <c r="C76" t="inlineStr">
        <is>
          <t>Föryngringsavverkning</t>
        </is>
      </c>
      <c r="D76" s="1" t="n">
        <v>45826</v>
      </c>
      <c r="E76" s="1" t="n">
        <v>46218</v>
      </c>
      <c r="F76" t="inlineStr">
        <is>
          <t>KRONOBERGS LÄN</t>
        </is>
      </c>
      <c r="G76" t="inlineStr">
        <is>
          <t>UPPVIDINGE</t>
        </is>
      </c>
      <c r="I76" t="n">
        <v>1.1</v>
      </c>
      <c r="J76" t="n">
        <v>0</v>
      </c>
      <c r="K76" t="n">
        <v>0</v>
      </c>
      <c r="L76" t="n">
        <v>0</v>
      </c>
      <c r="M76" t="n">
        <v>1</v>
      </c>
      <c r="N76" t="n">
        <v>0</v>
      </c>
      <c r="O76" t="n">
        <v>0</v>
      </c>
      <c r="P76" t="n">
        <v>0</v>
      </c>
      <c r="Q76" t="n">
        <v>1</v>
      </c>
      <c r="R76" t="n">
        <v>1</v>
      </c>
      <c r="S76" t="n">
        <v>1</v>
      </c>
      <c r="T76" t="n">
        <v>3</v>
      </c>
      <c r="U76" s="2" t="inlineStr">
        <is>
          <t>Slåttergubbe</t>
        </is>
      </c>
      <c r="V76">
        <f>HYPERLINK("https://klasma.github.io/Logging_0760/artfynd/A 29988-2025 artfynd.xlsx", "A 29988-2025")</f>
        <v/>
      </c>
      <c r="W76">
        <f>HYPERLINK("https://klasma.github.io/Logging_0760/kartor/A 29988-2025 karta.png", "A 29988-2025")</f>
        <v/>
      </c>
      <c r="Y76">
        <f>HYPERLINK("https://klasma.github.io/Logging_0760/klagomål/A 29988-2025 FSC-klagomål.docx", "A 29988-2025")</f>
        <v/>
      </c>
      <c r="Z76">
        <f>HYPERLINK("https://klasma.github.io/Logging_0760/klagomålsmail/A 29988-2025 FSC-klagomål mail.docx", "A 29988-2025")</f>
        <v/>
      </c>
      <c r="AA76">
        <f>HYPERLINK("https://klasma.github.io/Logging_0760/tillsyn/A 29988-2025 tillsynsbegäran.docx", "A 29988-2025")</f>
        <v/>
      </c>
      <c r="AB76">
        <f>HYPERLINK("https://klasma.github.io/Logging_0760/tillsynsmail/A 29988-2025 tillsynsbegäran mail.docx", "A 29988-2025")</f>
        <v/>
      </c>
    </row>
    <row r="77" ht="15" customHeight="1">
      <c r="A77" t="inlineStr">
        <is>
          <t>A 49123-2022</t>
        </is>
      </c>
      <c r="B77" t="inlineStr">
        <is>
          <t>avverkningsanmälan</t>
        </is>
      </c>
      <c r="C77" t="inlineStr">
        <is>
          <t>Föryngringsavverkning</t>
        </is>
      </c>
      <c r="D77" s="1" t="n">
        <v>44858</v>
      </c>
      <c r="E77" s="1" t="n">
        <v>46218</v>
      </c>
      <c r="F77" t="inlineStr">
        <is>
          <t>KRONOBERGS LÄN</t>
        </is>
      </c>
      <c r="G77" t="inlineStr">
        <is>
          <t>UPPVIDINGE</t>
        </is>
      </c>
      <c r="I77" t="n">
        <v>5.5</v>
      </c>
      <c r="J77" t="n">
        <v>1</v>
      </c>
      <c r="K77" t="n">
        <v>0</v>
      </c>
      <c r="L77" t="n">
        <v>0</v>
      </c>
      <c r="M77" t="n">
        <v>0</v>
      </c>
      <c r="N77" t="n">
        <v>0</v>
      </c>
      <c r="O77" t="n">
        <v>0</v>
      </c>
      <c r="P77" t="n">
        <v>0</v>
      </c>
      <c r="Q77" t="n">
        <v>0</v>
      </c>
      <c r="R77" t="n">
        <v>0</v>
      </c>
      <c r="S77" t="n">
        <v>1</v>
      </c>
      <c r="T77" t="n">
        <v>1</v>
      </c>
      <c r="U77" s="2" t="inlineStr">
        <is>
          <t>Mattlummer</t>
        </is>
      </c>
      <c r="V77">
        <f>HYPERLINK("https://klasma.github.io/Logging_0760/artfynd/A 49123-2022 artfynd.xlsx", "A 49123-2022")</f>
        <v/>
      </c>
      <c r="W77">
        <f>HYPERLINK("https://klasma.github.io/Logging_0760/kartor/A 49123-2022 karta.png", "A 49123-2022")</f>
        <v/>
      </c>
      <c r="Y77">
        <f>HYPERLINK("https://klasma.github.io/Logging_0760/klagomål/A 49123-2022 FSC-klagomål.docx", "A 49123-2022")</f>
        <v/>
      </c>
      <c r="Z77">
        <f>HYPERLINK("https://klasma.github.io/Logging_0760/klagomålsmail/A 49123-2022 FSC-klagomål mail.docx", "A 49123-2022")</f>
        <v/>
      </c>
      <c r="AA77">
        <f>HYPERLINK("https://klasma.github.io/Logging_0760/tillsyn/A 49123-2022 tillsynsbegäran.docx", "A 49123-2022")</f>
        <v/>
      </c>
      <c r="AB77">
        <f>HYPERLINK("https://klasma.github.io/Logging_0760/tillsynsmail/A 49123-2022 tillsynsbegäran mail.docx", "A 49123-2022")</f>
        <v/>
      </c>
    </row>
    <row r="78" ht="15" customHeight="1">
      <c r="A78" t="inlineStr">
        <is>
          <t>A 58029-2025</t>
        </is>
      </c>
      <c r="B78" t="inlineStr">
        <is>
          <t>avverkningsanmälan</t>
        </is>
      </c>
      <c r="C78" t="inlineStr">
        <is>
          <t>Föryngringsavverkning</t>
        </is>
      </c>
      <c r="D78" s="1" t="n">
        <v>45982</v>
      </c>
      <c r="E78" s="1" t="n">
        <v>46218</v>
      </c>
      <c r="F78" t="inlineStr">
        <is>
          <t>KRONOBERGS LÄN</t>
        </is>
      </c>
      <c r="G78" t="inlineStr">
        <is>
          <t>UPPVIDINGE</t>
        </is>
      </c>
      <c r="I78" t="n">
        <v>4</v>
      </c>
      <c r="J78" t="n">
        <v>1</v>
      </c>
      <c r="K78" t="n">
        <v>0</v>
      </c>
      <c r="L78" t="n">
        <v>0</v>
      </c>
      <c r="M78" t="n">
        <v>1</v>
      </c>
      <c r="N78" t="n">
        <v>0</v>
      </c>
      <c r="O78" t="n">
        <v>0</v>
      </c>
      <c r="P78" t="n">
        <v>0</v>
      </c>
      <c r="Q78" t="n">
        <v>1</v>
      </c>
      <c r="R78" t="n">
        <v>1</v>
      </c>
      <c r="S78" t="n">
        <v>1</v>
      </c>
      <c r="T78" t="n">
        <v>2</v>
      </c>
      <c r="U78" s="2" t="inlineStr">
        <is>
          <t>Knärot</t>
        </is>
      </c>
      <c r="V78">
        <f>HYPERLINK("https://klasma.github.io/Logging_0760/artfynd/A 58029-2025 artfynd.xlsx", "A 58029-2025")</f>
        <v/>
      </c>
      <c r="W78">
        <f>HYPERLINK("https://klasma.github.io/Logging_0760/kartor/A 58029-2025 karta.png", "A 58029-2025")</f>
        <v/>
      </c>
      <c r="X78">
        <f>HYPERLINK("https://klasma.github.io/Logging_0760/knärot/A 58029-2025 karta knärot.png", "A 58029-2025")</f>
        <v/>
      </c>
      <c r="Y78">
        <f>HYPERLINK("https://klasma.github.io/Logging_0760/klagomål/A 58029-2025 FSC-klagomål.docx", "A 58029-2025")</f>
        <v/>
      </c>
      <c r="Z78">
        <f>HYPERLINK("https://klasma.github.io/Logging_0760/klagomålsmail/A 58029-2025 FSC-klagomål mail.docx", "A 58029-2025")</f>
        <v/>
      </c>
      <c r="AA78">
        <f>HYPERLINK("https://klasma.github.io/Logging_0760/tillsyn/A 58029-2025 tillsynsbegäran.docx", "A 58029-2025")</f>
        <v/>
      </c>
      <c r="AB78">
        <f>HYPERLINK("https://klasma.github.io/Logging_0760/tillsynsmail/A 58029-2025 tillsynsbegäran mail.docx", "A 58029-2025")</f>
        <v/>
      </c>
    </row>
    <row r="79" ht="15" customHeight="1">
      <c r="A79" t="inlineStr">
        <is>
          <t>A 33100-2025</t>
        </is>
      </c>
      <c r="B79" t="inlineStr">
        <is>
          <t>avverkningsanmälan</t>
        </is>
      </c>
      <c r="C79" t="inlineStr">
        <is>
          <t>Föryngringsavverkning</t>
        </is>
      </c>
      <c r="D79" s="1" t="n">
        <v>45840</v>
      </c>
      <c r="E79" s="1" t="n">
        <v>46218</v>
      </c>
      <c r="F79" t="inlineStr">
        <is>
          <t>KRONOBERGS LÄN</t>
        </is>
      </c>
      <c r="G79" t="inlineStr">
        <is>
          <t>UPPVIDINGE</t>
        </is>
      </c>
      <c r="I79" t="n">
        <v>0.8</v>
      </c>
      <c r="J79" t="n">
        <v>0</v>
      </c>
      <c r="K79" t="n">
        <v>0</v>
      </c>
      <c r="L79" t="n">
        <v>1</v>
      </c>
      <c r="M79" t="n">
        <v>0</v>
      </c>
      <c r="N79" t="n">
        <v>0</v>
      </c>
      <c r="O79" t="n">
        <v>0</v>
      </c>
      <c r="P79" t="n">
        <v>0</v>
      </c>
      <c r="Q79" t="n">
        <v>1</v>
      </c>
      <c r="R79" t="n">
        <v>0</v>
      </c>
      <c r="S79" t="n">
        <v>1</v>
      </c>
      <c r="T79" t="n">
        <v>1</v>
      </c>
      <c r="U79" s="2" t="inlineStr">
        <is>
          <t>Fjällig taggsvamp s.str.</t>
        </is>
      </c>
      <c r="V79">
        <f>HYPERLINK("https://klasma.github.io/Logging_0760/artfynd/A 33100-2025 artfynd.xlsx", "A 33100-2025")</f>
        <v/>
      </c>
      <c r="W79">
        <f>HYPERLINK("https://klasma.github.io/Logging_0760/kartor/A 33100-2025 karta.png", "A 33100-2025")</f>
        <v/>
      </c>
      <c r="Y79">
        <f>HYPERLINK("https://klasma.github.io/Logging_0760/klagomål/A 33100-2025 FSC-klagomål.docx", "A 33100-2025")</f>
        <v/>
      </c>
      <c r="Z79">
        <f>HYPERLINK("https://klasma.github.io/Logging_0760/klagomålsmail/A 33100-2025 FSC-klagomål mail.docx", "A 33100-2025")</f>
        <v/>
      </c>
      <c r="AA79">
        <f>HYPERLINK("https://klasma.github.io/Logging_0760/tillsyn/A 33100-2025 tillsynsbegäran.docx", "A 33100-2025")</f>
        <v/>
      </c>
      <c r="AB79">
        <f>HYPERLINK("https://klasma.github.io/Logging_0760/tillsynsmail/A 33100-2025 tillsynsbegäran mail.docx", "A 33100-2025")</f>
        <v/>
      </c>
    </row>
    <row r="80" ht="15" customHeight="1">
      <c r="A80" t="inlineStr">
        <is>
          <t>A 4801-2025</t>
        </is>
      </c>
      <c r="B80" t="inlineStr">
        <is>
          <t>avverkningsanmälan</t>
        </is>
      </c>
      <c r="C80" t="inlineStr">
        <is>
          <t>Föryngringsavverkning</t>
        </is>
      </c>
      <c r="D80" s="1" t="n">
        <v>45688</v>
      </c>
      <c r="E80" s="1" t="n">
        <v>46218</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s="2" t="inlineStr">
        <is>
          <t>Blåsippa</t>
        </is>
      </c>
      <c r="V80">
        <f>HYPERLINK("https://klasma.github.io/Logging_0760/artfynd/A 4801-2025 artfynd.xlsx", "A 4801-2025")</f>
        <v/>
      </c>
      <c r="W80">
        <f>HYPERLINK("https://klasma.github.io/Logging_0760/kartor/A 4801-2025 karta.png", "A 4801-2025")</f>
        <v/>
      </c>
      <c r="Y80">
        <f>HYPERLINK("https://klasma.github.io/Logging_0760/klagomål/A 4801-2025 FSC-klagomål.docx", "A 4801-2025")</f>
        <v/>
      </c>
      <c r="Z80">
        <f>HYPERLINK("https://klasma.github.io/Logging_0760/klagomålsmail/A 4801-2025 FSC-klagomål mail.docx", "A 4801-2025")</f>
        <v/>
      </c>
      <c r="AA80">
        <f>HYPERLINK("https://klasma.github.io/Logging_0760/tillsyn/A 4801-2025 tillsynsbegäran.docx", "A 4801-2025")</f>
        <v/>
      </c>
      <c r="AB80">
        <f>HYPERLINK("https://klasma.github.io/Logging_0760/tillsynsmail/A 4801-2025 tillsynsbegäran mail.docx", "A 4801-2025")</f>
        <v/>
      </c>
    </row>
    <row r="81" ht="15" customHeight="1">
      <c r="A81" t="inlineStr">
        <is>
          <t>A 29154-2023</t>
        </is>
      </c>
      <c r="B81" t="inlineStr">
        <is>
          <t>avverkningsanmälan</t>
        </is>
      </c>
      <c r="C81" t="inlineStr">
        <is>
          <t>Föryngringsavverkning</t>
        </is>
      </c>
      <c r="D81" s="1" t="n">
        <v>45105</v>
      </c>
      <c r="E81" s="1" t="n">
        <v>46218</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s="2" t="inlineStr">
        <is>
          <t>Slåttergubbe</t>
        </is>
      </c>
      <c r="V81">
        <f>HYPERLINK("https://klasma.github.io/Logging_0760/artfynd/A 29154-2023 artfynd.xlsx", "A 29154-2023")</f>
        <v/>
      </c>
      <c r="W81">
        <f>HYPERLINK("https://klasma.github.io/Logging_0760/kartor/A 29154-2023 karta.png", "A 29154-2023")</f>
        <v/>
      </c>
      <c r="Y81">
        <f>HYPERLINK("https://klasma.github.io/Logging_0760/klagomål/A 29154-2023 FSC-klagomål.docx", "A 29154-2023")</f>
        <v/>
      </c>
      <c r="Z81">
        <f>HYPERLINK("https://klasma.github.io/Logging_0760/klagomålsmail/A 29154-2023 FSC-klagomål mail.docx", "A 29154-2023")</f>
        <v/>
      </c>
      <c r="AA81">
        <f>HYPERLINK("https://klasma.github.io/Logging_0760/tillsyn/A 29154-2023 tillsynsbegäran.docx", "A 29154-2023")</f>
        <v/>
      </c>
      <c r="AB81">
        <f>HYPERLINK("https://klasma.github.io/Logging_0760/tillsynsmail/A 29154-2023 tillsynsbegäran mail.docx", "A 29154-2023")</f>
        <v/>
      </c>
    </row>
    <row r="82" ht="15" customHeight="1">
      <c r="A82" t="inlineStr">
        <is>
          <t>A 27026-2026</t>
        </is>
      </c>
      <c r="B82" t="inlineStr">
        <is>
          <t>avverkningsanmälan</t>
        </is>
      </c>
      <c r="C82" t="inlineStr">
        <is>
          <t>Föryngringsavverkning</t>
        </is>
      </c>
      <c r="D82" s="1" t="n">
        <v>46185</v>
      </c>
      <c r="E82" s="1" t="n">
        <v>46218</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s="2" t="inlineStr">
        <is>
          <t>Havstulpanlav</t>
        </is>
      </c>
      <c r="V82">
        <f>HYPERLINK("https://klasma.github.io/Logging_0760/artfynd/A 27026-2026 artfynd.xlsx", "A 27026-2026")</f>
        <v/>
      </c>
      <c r="W82">
        <f>HYPERLINK("https://klasma.github.io/Logging_0760/kartor/A 27026-2026 karta.png", "A 27026-2026")</f>
        <v/>
      </c>
      <c r="Y82">
        <f>HYPERLINK("https://klasma.github.io/Logging_0760/klagomål/A 27026-2026 FSC-klagomål.docx", "A 27026-2026")</f>
        <v/>
      </c>
      <c r="Z82">
        <f>HYPERLINK("https://klasma.github.io/Logging_0760/klagomålsmail/A 27026-2026 FSC-klagomål mail.docx", "A 27026-2026")</f>
        <v/>
      </c>
      <c r="AA82">
        <f>HYPERLINK("https://klasma.github.io/Logging_0760/tillsyn/A 27026-2026 tillsynsbegäran.docx", "A 27026-2026")</f>
        <v/>
      </c>
      <c r="AB82">
        <f>HYPERLINK("https://klasma.github.io/Logging_0760/tillsynsmail/A 27026-2026 tillsynsbegäran mail.docx", "A 27026-2026")</f>
        <v/>
      </c>
    </row>
    <row r="83" ht="15" customHeight="1">
      <c r="A83" t="inlineStr">
        <is>
          <t>A 20488-2024</t>
        </is>
      </c>
      <c r="B83" t="inlineStr">
        <is>
          <t>avverkningsanmälan</t>
        </is>
      </c>
      <c r="C83" t="inlineStr">
        <is>
          <t>Föryngringsavverkning</t>
        </is>
      </c>
      <c r="D83" s="1" t="n">
        <v>45435</v>
      </c>
      <c r="E83" s="1" t="n">
        <v>46218</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s="2" t="inlineStr">
        <is>
          <t>Tjäder</t>
        </is>
      </c>
      <c r="V83">
        <f>HYPERLINK("https://klasma.github.io/Logging_0760/artfynd/A 20488-2024 artfynd.xlsx", "A 20488-2024")</f>
        <v/>
      </c>
      <c r="W83">
        <f>HYPERLINK("https://klasma.github.io/Logging_0760/kartor/A 20488-2024 karta.png", "A 20488-2024")</f>
        <v/>
      </c>
      <c r="Y83">
        <f>HYPERLINK("https://klasma.github.io/Logging_0760/klagomål/A 20488-2024 FSC-klagomål.docx", "A 20488-2024")</f>
        <v/>
      </c>
      <c r="Z83">
        <f>HYPERLINK("https://klasma.github.io/Logging_0760/klagomålsmail/A 20488-2024 FSC-klagomål mail.docx", "A 20488-2024")</f>
        <v/>
      </c>
      <c r="AA83">
        <f>HYPERLINK("https://klasma.github.io/Logging_0760/tillsyn/A 20488-2024 tillsynsbegäran.docx", "A 20488-2024")</f>
        <v/>
      </c>
      <c r="AB83">
        <f>HYPERLINK("https://klasma.github.io/Logging_0760/tillsynsmail/A 20488-2024 tillsynsbegäran mail.docx", "A 20488-2024")</f>
        <v/>
      </c>
      <c r="AC83">
        <f>HYPERLINK("https://klasma.github.io/Logging_0760/fåglar/A 20488-2024 prioriterade fågelarter.docx", "A 20488-2024")</f>
        <v/>
      </c>
    </row>
    <row r="84" ht="15" customHeight="1">
      <c r="A84" t="inlineStr">
        <is>
          <t>A 16882-2022</t>
        </is>
      </c>
      <c r="B84" t="inlineStr">
        <is>
          <t>avverkningsanmälan</t>
        </is>
      </c>
      <c r="C84" t="inlineStr">
        <is>
          <t>Avverkning för annat ändamål</t>
        </is>
      </c>
      <c r="D84" s="1" t="n">
        <v>44676</v>
      </c>
      <c r="E84" s="1" t="n">
        <v>46218</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s="2" t="inlineStr">
        <is>
          <t>Sommarfibbla</t>
        </is>
      </c>
      <c r="V84">
        <f>HYPERLINK("https://klasma.github.io/Logging_0760/artfynd/A 16882-2022 artfynd.xlsx", "A 16882-2022")</f>
        <v/>
      </c>
      <c r="W84">
        <f>HYPERLINK("https://klasma.github.io/Logging_0760/kartor/A 16882-2022 karta.png", "A 16882-2022")</f>
        <v/>
      </c>
      <c r="Y84">
        <f>HYPERLINK("https://klasma.github.io/Logging_0760/klagomål/A 16882-2022 FSC-klagomål.docx", "A 16882-2022")</f>
        <v/>
      </c>
      <c r="Z84">
        <f>HYPERLINK("https://klasma.github.io/Logging_0760/klagomålsmail/A 16882-2022 FSC-klagomål mail.docx", "A 16882-2022")</f>
        <v/>
      </c>
      <c r="AA84">
        <f>HYPERLINK("https://klasma.github.io/Logging_0760/tillsyn/A 16882-2022 tillsynsbegäran.docx", "A 16882-2022")</f>
        <v/>
      </c>
      <c r="AB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46218</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s="2" t="inlineStr">
        <is>
          <t>Nattviol</t>
        </is>
      </c>
      <c r="V85">
        <f>HYPERLINK("https://klasma.github.io/Logging_0760/artfynd/A 22428-2026 artfynd.xlsx", "A 22428-2026")</f>
        <v/>
      </c>
      <c r="W85">
        <f>HYPERLINK("https://klasma.github.io/Logging_0760/kartor/A 22428-2026 karta.png", "A 22428-2026")</f>
        <v/>
      </c>
      <c r="Y85">
        <f>HYPERLINK("https://klasma.github.io/Logging_0760/klagomål/A 22428-2026 FSC-klagomål.docx", "A 22428-2026")</f>
        <v/>
      </c>
      <c r="Z85">
        <f>HYPERLINK("https://klasma.github.io/Logging_0760/klagomålsmail/A 22428-2026 FSC-klagomål mail.docx", "A 22428-2026")</f>
        <v/>
      </c>
      <c r="AA85">
        <f>HYPERLINK("https://klasma.github.io/Logging_0760/tillsyn/A 22428-2026 tillsynsbegäran.docx", "A 22428-2026")</f>
        <v/>
      </c>
      <c r="AB85">
        <f>HYPERLINK("https://klasma.github.io/Logging_0760/tillsynsmail/A 22428-2026 tillsynsbegäran mail.docx", "A 22428-2026")</f>
        <v/>
      </c>
    </row>
    <row r="86" ht="15" customHeight="1">
      <c r="A86" t="inlineStr">
        <is>
          <t>A 5742-2026</t>
        </is>
      </c>
      <c r="B86" t="inlineStr">
        <is>
          <t>avverkningsanmälan</t>
        </is>
      </c>
      <c r="C86" t="inlineStr">
        <is>
          <t>Föryngringsavverkning</t>
        </is>
      </c>
      <c r="D86" s="1" t="n">
        <v>46051</v>
      </c>
      <c r="E86" s="1" t="n">
        <v>46218</v>
      </c>
      <c r="F86" t="inlineStr">
        <is>
          <t>KRONOBERGS LÄN</t>
        </is>
      </c>
      <c r="G86" t="inlineStr">
        <is>
          <t>UPPVIDINGE</t>
        </is>
      </c>
      <c r="I86" t="n">
        <v>3</v>
      </c>
      <c r="J86" t="n">
        <v>0</v>
      </c>
      <c r="K86" t="n">
        <v>0</v>
      </c>
      <c r="L86" t="n">
        <v>1</v>
      </c>
      <c r="M86" t="n">
        <v>0</v>
      </c>
      <c r="N86" t="n">
        <v>0</v>
      </c>
      <c r="O86" t="n">
        <v>0</v>
      </c>
      <c r="P86" t="n">
        <v>0</v>
      </c>
      <c r="Q86" t="n">
        <v>1</v>
      </c>
      <c r="R86" t="n">
        <v>0</v>
      </c>
      <c r="S86" t="n">
        <v>1</v>
      </c>
      <c r="T86" t="n">
        <v>1</v>
      </c>
      <c r="U86" s="2" t="inlineStr">
        <is>
          <t>Dropptaggsvamp</t>
        </is>
      </c>
      <c r="V86">
        <f>HYPERLINK("https://klasma.github.io/Logging_0760/artfynd/A 5742-2026 artfynd.xlsx", "A 5742-2026")</f>
        <v/>
      </c>
      <c r="W86">
        <f>HYPERLINK("https://klasma.github.io/Logging_0760/kartor/A 5742-2026 karta.png", "A 5742-2026")</f>
        <v/>
      </c>
      <c r="Y86">
        <f>HYPERLINK("https://klasma.github.io/Logging_0760/klagomål/A 5742-2026 FSC-klagomål.docx", "A 5742-2026")</f>
        <v/>
      </c>
      <c r="Z86">
        <f>HYPERLINK("https://klasma.github.io/Logging_0760/klagomålsmail/A 5742-2026 FSC-klagomål mail.docx", "A 5742-2026")</f>
        <v/>
      </c>
      <c r="AA86">
        <f>HYPERLINK("https://klasma.github.io/Logging_0760/tillsyn/A 5742-2026 tillsynsbegäran.docx", "A 5742-2026")</f>
        <v/>
      </c>
      <c r="AB86">
        <f>HYPERLINK("https://klasma.github.io/Logging_0760/tillsynsmail/A 5742-2026 tillsynsbegäran mail.docx", "A 5742-2026")</f>
        <v/>
      </c>
    </row>
    <row r="87" ht="15" customHeight="1">
      <c r="A87" t="inlineStr">
        <is>
          <t>A 23244-2026</t>
        </is>
      </c>
      <c r="B87" t="inlineStr">
        <is>
          <t>avverkningsanmälan</t>
        </is>
      </c>
      <c r="C87" t="inlineStr">
        <is>
          <t>Föryngringsavverkning</t>
        </is>
      </c>
      <c r="D87" s="1" t="n">
        <v>46162</v>
      </c>
      <c r="E87" s="1" t="n">
        <v>46218</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s="2" t="inlineStr">
        <is>
          <t>Spindelört</t>
        </is>
      </c>
      <c r="V87">
        <f>HYPERLINK("https://klasma.github.io/Logging_0760/artfynd/A 23244-2026 artfynd.xlsx", "A 23244-2026")</f>
        <v/>
      </c>
      <c r="W87">
        <f>HYPERLINK("https://klasma.github.io/Logging_0760/kartor/A 23244-2026 karta.png", "A 23244-2026")</f>
        <v/>
      </c>
      <c r="Y87">
        <f>HYPERLINK("https://klasma.github.io/Logging_0760/klagomål/A 23244-2026 FSC-klagomål.docx", "A 23244-2026")</f>
        <v/>
      </c>
      <c r="Z87">
        <f>HYPERLINK("https://klasma.github.io/Logging_0760/klagomålsmail/A 23244-2026 FSC-klagomål mail.docx", "A 23244-2026")</f>
        <v/>
      </c>
      <c r="AA87">
        <f>HYPERLINK("https://klasma.github.io/Logging_0760/tillsyn/A 23244-2026 tillsynsbegäran.docx", "A 23244-2026")</f>
        <v/>
      </c>
      <c r="AB87">
        <f>HYPERLINK("https://klasma.github.io/Logging_0760/tillsynsmail/A 23244-2026 tillsynsbegäran mail.docx", "A 23244-2026")</f>
        <v/>
      </c>
    </row>
    <row r="88" ht="15" customHeight="1">
      <c r="A88" t="inlineStr">
        <is>
          <t>A 14565-2026</t>
        </is>
      </c>
      <c r="B88" t="inlineStr">
        <is>
          <t>avverkningsanmälan</t>
        </is>
      </c>
      <c r="C88" t="inlineStr">
        <is>
          <t>Föryngringsavverkning</t>
        </is>
      </c>
      <c r="D88" s="1" t="n">
        <v>46100</v>
      </c>
      <c r="E88" s="1" t="n">
        <v>46218</v>
      </c>
      <c r="F88" t="inlineStr">
        <is>
          <t>KRONOBERGS LÄN</t>
        </is>
      </c>
      <c r="G88" t="inlineStr">
        <is>
          <t>UPPVIDINGE</t>
        </is>
      </c>
      <c r="I88" t="n">
        <v>8.699999999999999</v>
      </c>
      <c r="J88" t="n">
        <v>0</v>
      </c>
      <c r="K88" t="n">
        <v>1</v>
      </c>
      <c r="L88" t="n">
        <v>0</v>
      </c>
      <c r="M88" t="n">
        <v>0</v>
      </c>
      <c r="N88" t="n">
        <v>0</v>
      </c>
      <c r="O88" t="n">
        <v>0</v>
      </c>
      <c r="P88" t="n">
        <v>0</v>
      </c>
      <c r="Q88" t="n">
        <v>0</v>
      </c>
      <c r="R88" t="n">
        <v>0</v>
      </c>
      <c r="S88" t="n">
        <v>1</v>
      </c>
      <c r="T88" t="n">
        <v>1</v>
      </c>
      <c r="U88" s="2" t="inlineStr">
        <is>
          <t>Flagellkvastmossa</t>
        </is>
      </c>
      <c r="V88">
        <f>HYPERLINK("https://klasma.github.io/Logging_0760/artfynd/A 14565-2026 artfynd.xlsx", "A 14565-2026")</f>
        <v/>
      </c>
      <c r="W88">
        <f>HYPERLINK("https://klasma.github.io/Logging_0760/kartor/A 14565-2026 karta.png", "A 14565-2026")</f>
        <v/>
      </c>
      <c r="Y88">
        <f>HYPERLINK("https://klasma.github.io/Logging_0760/klagomål/A 14565-2026 FSC-klagomål.docx", "A 14565-2026")</f>
        <v/>
      </c>
      <c r="Z88">
        <f>HYPERLINK("https://klasma.github.io/Logging_0760/klagomålsmail/A 14565-2026 FSC-klagomål mail.docx", "A 14565-2026")</f>
        <v/>
      </c>
      <c r="AA88">
        <f>HYPERLINK("https://klasma.github.io/Logging_0760/tillsyn/A 14565-2026 tillsynsbegäran.docx", "A 14565-2026")</f>
        <v/>
      </c>
      <c r="AB88">
        <f>HYPERLINK("https://klasma.github.io/Logging_0760/tillsynsmail/A 14565-2026 tillsynsbegäran mail.docx", "A 14565-2026")</f>
        <v/>
      </c>
    </row>
    <row r="89" ht="15" customHeight="1">
      <c r="A89" t="inlineStr">
        <is>
          <t>S 1866-2024</t>
        </is>
      </c>
      <c r="B89" t="inlineStr">
        <is>
          <t>samrådsanmälan</t>
        </is>
      </c>
      <c r="C89" t="inlineStr">
        <is>
          <t>Annan skogsbruksåtgärd</t>
        </is>
      </c>
      <c r="D89" s="1" t="n">
        <v>45440</v>
      </c>
      <c r="E89" s="1" t="n">
        <v>46218</v>
      </c>
      <c r="F89" t="inlineStr">
        <is>
          <t>KRONOBERGS LÄN</t>
        </is>
      </c>
      <c r="G89" t="inlineStr">
        <is>
          <t>UPPVIDINGE</t>
        </is>
      </c>
      <c r="I89" t="n">
        <v>1</v>
      </c>
      <c r="J89" t="n">
        <v>1</v>
      </c>
      <c r="K89" t="n">
        <v>0</v>
      </c>
      <c r="L89" t="n">
        <v>0</v>
      </c>
      <c r="M89" t="n">
        <v>0</v>
      </c>
      <c r="N89" t="n">
        <v>0</v>
      </c>
      <c r="O89" t="n">
        <v>0</v>
      </c>
      <c r="P89" t="n">
        <v>0</v>
      </c>
      <c r="Q89" t="n">
        <v>0</v>
      </c>
      <c r="R89" t="n">
        <v>0</v>
      </c>
      <c r="S89" t="n">
        <v>1</v>
      </c>
      <c r="T89" t="n">
        <v>1</v>
      </c>
      <c r="U89" s="2" t="inlineStr">
        <is>
          <t>Blåsippa</t>
        </is>
      </c>
      <c r="V89">
        <f>HYPERLINK("https://klasma.github.io/Logging_0760/artfynd/S 1866-2024 artfynd.xlsx", "S 1866-2024")</f>
        <v/>
      </c>
      <c r="W89">
        <f>HYPERLINK("https://klasma.github.io/Logging_0760/kartor/S 1866-2024 karta.png", "S 1866-2024")</f>
        <v/>
      </c>
      <c r="Y89">
        <f>HYPERLINK("https://klasma.github.io/Logging_0760/klagomål/S 1866-2024 FSC-klagomål.docx", "S 1866-2024")</f>
        <v/>
      </c>
      <c r="Z89">
        <f>HYPERLINK("https://klasma.github.io/Logging_0760/klagomålsmail/S 1866-2024 FSC-klagomål mail.docx", "S 1866-2024")</f>
        <v/>
      </c>
      <c r="AA89">
        <f>HYPERLINK("https://klasma.github.io/Logging_0760/tillsyn/S 1866-2024 tillsynsbegäran.docx", "S 1866-2024")</f>
        <v/>
      </c>
      <c r="AB89">
        <f>HYPERLINK("https://klasma.github.io/Logging_0760/tillsynsmail/S 1866-2024 tillsynsbegäran mail.docx", "S 1866-2024")</f>
        <v/>
      </c>
    </row>
    <row r="90" ht="15" customHeight="1">
      <c r="A90" t="inlineStr">
        <is>
          <t>S 606-2023</t>
        </is>
      </c>
      <c r="B90" t="inlineStr">
        <is>
          <t>samrådsanmälan</t>
        </is>
      </c>
      <c r="C90" t="inlineStr">
        <is>
          <t>Askåterföring</t>
        </is>
      </c>
      <c r="D90" s="1" t="n">
        <v>44972</v>
      </c>
      <c r="E90" s="1" t="n">
        <v>46218</v>
      </c>
      <c r="F90" t="inlineStr">
        <is>
          <t>KRONOBERGS LÄN</t>
        </is>
      </c>
      <c r="G90" t="inlineStr">
        <is>
          <t>UPPVIDINGE</t>
        </is>
      </c>
      <c r="H90" t="inlineStr">
        <is>
          <t>Sveaskog</t>
        </is>
      </c>
      <c r="I90" t="n">
        <v>155</v>
      </c>
      <c r="J90" t="n">
        <v>1</v>
      </c>
      <c r="K90" t="n">
        <v>0</v>
      </c>
      <c r="L90" t="n">
        <v>0</v>
      </c>
      <c r="M90" t="n">
        <v>0</v>
      </c>
      <c r="N90" t="n">
        <v>0</v>
      </c>
      <c r="O90" t="n">
        <v>0</v>
      </c>
      <c r="P90" t="n">
        <v>0</v>
      </c>
      <c r="Q90" t="n">
        <v>0</v>
      </c>
      <c r="R90" t="n">
        <v>0</v>
      </c>
      <c r="S90" t="n">
        <v>1</v>
      </c>
      <c r="T90" t="n">
        <v>1</v>
      </c>
      <c r="U90" s="2" t="inlineStr">
        <is>
          <t>Orre</t>
        </is>
      </c>
      <c r="V90">
        <f>HYPERLINK("https://klasma.github.io/Logging_0760/artfynd/S 606-2023 artfynd.xlsx", "S 606-2023")</f>
        <v/>
      </c>
      <c r="W90">
        <f>HYPERLINK("https://klasma.github.io/Logging_0760/kartor/S 606-2023 karta.png", "S 606-2023")</f>
        <v/>
      </c>
      <c r="Y90">
        <f>HYPERLINK("https://klasma.github.io/Logging_0760/klagomål/S 606-2023 FSC-klagomål.docx", "S 606-2023")</f>
        <v/>
      </c>
      <c r="Z90">
        <f>HYPERLINK("https://klasma.github.io/Logging_0760/klagomålsmail/S 606-2023 FSC-klagomål mail.docx", "S 606-2023")</f>
        <v/>
      </c>
      <c r="AA90">
        <f>HYPERLINK("https://klasma.github.io/Logging_0760/tillsyn/S 606-2023 tillsynsbegäran.docx", "S 606-2023")</f>
        <v/>
      </c>
      <c r="AB90">
        <f>HYPERLINK("https://klasma.github.io/Logging_0760/tillsynsmail/S 606-2023 tillsynsbegäran mail.docx", "S 606-2023")</f>
        <v/>
      </c>
      <c r="AC90">
        <f>HYPERLINK("https://klasma.github.io/Logging_0760/fåglar/S 606-2023 prioriterade fågelarter.docx", "S 606-2023")</f>
        <v/>
      </c>
    </row>
    <row r="91" ht="15" customHeight="1">
      <c r="A91" t="inlineStr">
        <is>
          <t>S 1733-2025</t>
        </is>
      </c>
      <c r="B91" t="inlineStr">
        <is>
          <t>samrådsanmälan</t>
        </is>
      </c>
      <c r="C91" t="inlineStr">
        <is>
          <t>Annan skogsbruksåtgärd</t>
        </is>
      </c>
      <c r="D91" s="1" t="n">
        <v>45810</v>
      </c>
      <c r="E91" s="1" t="n">
        <v>46218</v>
      </c>
      <c r="F91" t="inlineStr">
        <is>
          <t>KRONOBERGS LÄN</t>
        </is>
      </c>
      <c r="G91" t="inlineStr">
        <is>
          <t>UPPVIDINGE</t>
        </is>
      </c>
      <c r="I91" t="n">
        <v>3.1</v>
      </c>
      <c r="J91" t="n">
        <v>1</v>
      </c>
      <c r="K91" t="n">
        <v>0</v>
      </c>
      <c r="L91" t="n">
        <v>0</v>
      </c>
      <c r="M91" t="n">
        <v>0</v>
      </c>
      <c r="N91" t="n">
        <v>0</v>
      </c>
      <c r="O91" t="n">
        <v>0</v>
      </c>
      <c r="P91" t="n">
        <v>0</v>
      </c>
      <c r="Q91" t="n">
        <v>0</v>
      </c>
      <c r="R91" t="n">
        <v>0</v>
      </c>
      <c r="S91" t="n">
        <v>1</v>
      </c>
      <c r="T91" t="n">
        <v>1</v>
      </c>
      <c r="U91" s="2" t="inlineStr">
        <is>
          <t>Större vattensalamander</t>
        </is>
      </c>
      <c r="V91">
        <f>HYPERLINK("https://klasma.github.io/Logging_0760/artfynd/S 1733-2025 artfynd.xlsx", "S 1733-2025")</f>
        <v/>
      </c>
      <c r="W91">
        <f>HYPERLINK("https://klasma.github.io/Logging_0760/kartor/S 1733-2025 karta.png", "S 1733-2025")</f>
        <v/>
      </c>
      <c r="Y91">
        <f>HYPERLINK("https://klasma.github.io/Logging_0760/klagomål/S 1733-2025 FSC-klagomål.docx", "S 1733-2025")</f>
        <v/>
      </c>
      <c r="Z91">
        <f>HYPERLINK("https://klasma.github.io/Logging_0760/klagomålsmail/S 1733-2025 FSC-klagomål mail.docx", "S 1733-2025")</f>
        <v/>
      </c>
      <c r="AA91">
        <f>HYPERLINK("https://klasma.github.io/Logging_0760/tillsyn/S 1733-2025 tillsynsbegäran.docx", "S 1733-2025")</f>
        <v/>
      </c>
      <c r="AB91">
        <f>HYPERLINK("https://klasma.github.io/Logging_0760/tillsynsmail/S 1733-2025 tillsynsbegäran mail.docx", "S 1733-2025")</f>
        <v/>
      </c>
    </row>
    <row r="92" ht="15" customHeight="1">
      <c r="A92" t="inlineStr">
        <is>
          <t>A 50146-2022</t>
        </is>
      </c>
      <c r="B92" t="inlineStr">
        <is>
          <t>avverkningsanmälan</t>
        </is>
      </c>
      <c r="C92" t="inlineStr">
        <is>
          <t>Föryngringsavverkning</t>
        </is>
      </c>
      <c r="D92" s="1" t="n">
        <v>44865</v>
      </c>
      <c r="E92" s="1" t="n">
        <v>46218</v>
      </c>
      <c r="F92" t="inlineStr">
        <is>
          <t>KRONOBERGS LÄN</t>
        </is>
      </c>
      <c r="G92" t="inlineStr">
        <is>
          <t>UPPVIDINGE</t>
        </is>
      </c>
      <c r="I92" t="n">
        <v>1.6</v>
      </c>
      <c r="J92" t="n">
        <v>0</v>
      </c>
      <c r="K92" t="n">
        <v>0</v>
      </c>
      <c r="L92" t="n">
        <v>0</v>
      </c>
      <c r="M92" t="n">
        <v>0</v>
      </c>
      <c r="N92" t="n">
        <v>0</v>
      </c>
      <c r="O92" t="n">
        <v>0</v>
      </c>
      <c r="P92" t="n">
        <v>0</v>
      </c>
      <c r="Q92" t="n">
        <v>0</v>
      </c>
      <c r="R92" t="n">
        <v>0</v>
      </c>
      <c r="S92" t="n">
        <v>0</v>
      </c>
      <c r="T92" t="n">
        <v>0</v>
      </c>
      <c r="U92" s="2" t="inlineStr"/>
    </row>
    <row r="93" ht="15" customHeight="1">
      <c r="A93" t="inlineStr">
        <is>
          <t>A 55322-2022</t>
        </is>
      </c>
      <c r="B93" t="inlineStr">
        <is>
          <t>avverkningsanmälan</t>
        </is>
      </c>
      <c r="C93" t="inlineStr">
        <is>
          <t>Föryngringsavverkning</t>
        </is>
      </c>
      <c r="D93" s="1" t="n">
        <v>44887</v>
      </c>
      <c r="E93" s="1" t="n">
        <v>46218</v>
      </c>
      <c r="F93" t="inlineStr">
        <is>
          <t>KRONOBERGS LÄN</t>
        </is>
      </c>
      <c r="G93" t="inlineStr">
        <is>
          <t>UPPVIDINGE</t>
        </is>
      </c>
      <c r="I93" t="n">
        <v>1.7</v>
      </c>
      <c r="J93" t="n">
        <v>0</v>
      </c>
      <c r="K93" t="n">
        <v>0</v>
      </c>
      <c r="L93" t="n">
        <v>0</v>
      </c>
      <c r="M93" t="n">
        <v>0</v>
      </c>
      <c r="N93" t="n">
        <v>0</v>
      </c>
      <c r="O93" t="n">
        <v>0</v>
      </c>
      <c r="P93" t="n">
        <v>0</v>
      </c>
      <c r="Q93" t="n">
        <v>0</v>
      </c>
      <c r="R93" t="n">
        <v>0</v>
      </c>
      <c r="S93" t="n">
        <v>0</v>
      </c>
      <c r="T93" t="n">
        <v>0</v>
      </c>
      <c r="U93" s="2" t="inlineStr"/>
    </row>
    <row r="94" ht="15" customHeight="1">
      <c r="A94" t="inlineStr">
        <is>
          <t>A 55324-2022</t>
        </is>
      </c>
      <c r="B94" t="inlineStr">
        <is>
          <t>avverkningsanmälan</t>
        </is>
      </c>
      <c r="C94" t="inlineStr">
        <is>
          <t>Föryngringsavverkning</t>
        </is>
      </c>
      <c r="D94" s="1" t="n">
        <v>44887</v>
      </c>
      <c r="E94" s="1" t="n">
        <v>46218</v>
      </c>
      <c r="F94" t="inlineStr">
        <is>
          <t>KRONOBERGS LÄN</t>
        </is>
      </c>
      <c r="G94" t="inlineStr">
        <is>
          <t>UPPVIDINGE</t>
        </is>
      </c>
      <c r="I94" t="n">
        <v>1.9</v>
      </c>
      <c r="J94" t="n">
        <v>0</v>
      </c>
      <c r="K94" t="n">
        <v>0</v>
      </c>
      <c r="L94" t="n">
        <v>0</v>
      </c>
      <c r="M94" t="n">
        <v>0</v>
      </c>
      <c r="N94" t="n">
        <v>0</v>
      </c>
      <c r="O94" t="n">
        <v>0</v>
      </c>
      <c r="P94" t="n">
        <v>0</v>
      </c>
      <c r="Q94" t="n">
        <v>0</v>
      </c>
      <c r="R94" t="n">
        <v>0</v>
      </c>
      <c r="S94" t="n">
        <v>0</v>
      </c>
      <c r="T94" t="n">
        <v>0</v>
      </c>
      <c r="U94" s="2" t="inlineStr"/>
    </row>
    <row r="95" ht="15" customHeight="1">
      <c r="A95" t="inlineStr">
        <is>
          <t>A 67427-2021</t>
        </is>
      </c>
      <c r="B95" t="inlineStr">
        <is>
          <t>avverkningsanmälan</t>
        </is>
      </c>
      <c r="C95" t="inlineStr">
        <is>
          <t>Föryngringsavverkning</t>
        </is>
      </c>
      <c r="D95" s="1" t="n">
        <v>44524</v>
      </c>
      <c r="E95" s="1" t="n">
        <v>46218</v>
      </c>
      <c r="F95" t="inlineStr">
        <is>
          <t>KRONOBERGS LÄN</t>
        </is>
      </c>
      <c r="G95" t="inlineStr">
        <is>
          <t>UPPVIDINGE</t>
        </is>
      </c>
      <c r="I95" t="n">
        <v>0.9</v>
      </c>
      <c r="J95" t="n">
        <v>0</v>
      </c>
      <c r="K95" t="n">
        <v>0</v>
      </c>
      <c r="L95" t="n">
        <v>0</v>
      </c>
      <c r="M95" t="n">
        <v>0</v>
      </c>
      <c r="N95" t="n">
        <v>0</v>
      </c>
      <c r="O95" t="n">
        <v>0</v>
      </c>
      <c r="P95" t="n">
        <v>0</v>
      </c>
      <c r="Q95" t="n">
        <v>0</v>
      </c>
      <c r="R95" t="n">
        <v>0</v>
      </c>
      <c r="S95" t="n">
        <v>0</v>
      </c>
      <c r="T95" t="n">
        <v>0</v>
      </c>
      <c r="U95" s="2" t="inlineStr"/>
    </row>
    <row r="96" ht="15" customHeight="1">
      <c r="A96" t="inlineStr">
        <is>
          <t>A 8652-2022</t>
        </is>
      </c>
      <c r="B96" t="inlineStr">
        <is>
          <t>avverkningsanmälan</t>
        </is>
      </c>
      <c r="C96" t="inlineStr">
        <is>
          <t>Föryngringsavverkning</t>
        </is>
      </c>
      <c r="D96" s="1" t="n">
        <v>44613</v>
      </c>
      <c r="E96" s="1" t="n">
        <v>46218</v>
      </c>
      <c r="F96" t="inlineStr">
        <is>
          <t>KRONOBERGS LÄN</t>
        </is>
      </c>
      <c r="G96" t="inlineStr">
        <is>
          <t>UPPVIDINGE</t>
        </is>
      </c>
      <c r="I96" t="n">
        <v>0.4</v>
      </c>
      <c r="J96" t="n">
        <v>0</v>
      </c>
      <c r="K96" t="n">
        <v>0</v>
      </c>
      <c r="L96" t="n">
        <v>0</v>
      </c>
      <c r="M96" t="n">
        <v>0</v>
      </c>
      <c r="N96" t="n">
        <v>0</v>
      </c>
      <c r="O96" t="n">
        <v>0</v>
      </c>
      <c r="P96" t="n">
        <v>0</v>
      </c>
      <c r="Q96" t="n">
        <v>0</v>
      </c>
      <c r="R96" t="n">
        <v>0</v>
      </c>
      <c r="S96" t="n">
        <v>0</v>
      </c>
      <c r="T96" t="n">
        <v>0</v>
      </c>
      <c r="U96" s="2" t="inlineStr"/>
    </row>
    <row r="97" ht="15" customHeight="1">
      <c r="A97" t="inlineStr">
        <is>
          <t>A 57305-2021</t>
        </is>
      </c>
      <c r="B97" t="inlineStr">
        <is>
          <t>avverkningsanmälan</t>
        </is>
      </c>
      <c r="C97" t="inlineStr">
        <is>
          <t>Föryngringsavverkning</t>
        </is>
      </c>
      <c r="D97" s="1" t="n">
        <v>44483</v>
      </c>
      <c r="E97" s="1" t="n">
        <v>46218</v>
      </c>
      <c r="F97" t="inlineStr">
        <is>
          <t>KRONOBERGS LÄN</t>
        </is>
      </c>
      <c r="G97" t="inlineStr">
        <is>
          <t>UPPVIDINGE</t>
        </is>
      </c>
      <c r="I97" t="n">
        <v>3.5</v>
      </c>
      <c r="J97" t="n">
        <v>0</v>
      </c>
      <c r="K97" t="n">
        <v>0</v>
      </c>
      <c r="L97" t="n">
        <v>0</v>
      </c>
      <c r="M97" t="n">
        <v>0</v>
      </c>
      <c r="N97" t="n">
        <v>0</v>
      </c>
      <c r="O97" t="n">
        <v>0</v>
      </c>
      <c r="P97" t="n">
        <v>0</v>
      </c>
      <c r="Q97" t="n">
        <v>0</v>
      </c>
      <c r="R97" t="n">
        <v>0</v>
      </c>
      <c r="S97" t="n">
        <v>0</v>
      </c>
      <c r="T97" t="n">
        <v>0</v>
      </c>
      <c r="U97" s="2" t="inlineStr"/>
    </row>
    <row r="98" ht="15" customHeight="1">
      <c r="A98" t="inlineStr">
        <is>
          <t>A 47580-2021</t>
        </is>
      </c>
      <c r="B98" t="inlineStr">
        <is>
          <t>avverkningsanmälan</t>
        </is>
      </c>
      <c r="C98" t="inlineStr">
        <is>
          <t>Föryngringsavverkning</t>
        </is>
      </c>
      <c r="D98" s="1" t="n">
        <v>44447</v>
      </c>
      <c r="E98" s="1" t="n">
        <v>46218</v>
      </c>
      <c r="F98" t="inlineStr">
        <is>
          <t>KRONOBERGS LÄN</t>
        </is>
      </c>
      <c r="G98" t="inlineStr">
        <is>
          <t>UPPVIDINGE</t>
        </is>
      </c>
      <c r="I98" t="n">
        <v>2.8</v>
      </c>
      <c r="J98" t="n">
        <v>0</v>
      </c>
      <c r="K98" t="n">
        <v>0</v>
      </c>
      <c r="L98" t="n">
        <v>0</v>
      </c>
      <c r="M98" t="n">
        <v>0</v>
      </c>
      <c r="N98" t="n">
        <v>0</v>
      </c>
      <c r="O98" t="n">
        <v>0</v>
      </c>
      <c r="P98" t="n">
        <v>0</v>
      </c>
      <c r="Q98" t="n">
        <v>0</v>
      </c>
      <c r="R98" t="n">
        <v>0</v>
      </c>
      <c r="S98" t="n">
        <v>0</v>
      </c>
      <c r="T98" t="n">
        <v>0</v>
      </c>
      <c r="U98" s="2" t="inlineStr"/>
    </row>
    <row r="99" ht="15" customHeight="1">
      <c r="A99" t="inlineStr">
        <is>
          <t>A 58109-2021</t>
        </is>
      </c>
      <c r="B99" t="inlineStr">
        <is>
          <t>avverkningsanmälan</t>
        </is>
      </c>
      <c r="C99" t="inlineStr">
        <is>
          <t>Föryngringsavverkning</t>
        </is>
      </c>
      <c r="D99" s="1" t="n">
        <v>44487</v>
      </c>
      <c r="E99" s="1" t="n">
        <v>46218</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s="2" t="inlineStr"/>
    </row>
    <row r="100" ht="15" customHeight="1">
      <c r="A100" t="inlineStr">
        <is>
          <t>A 73660-2021</t>
        </is>
      </c>
      <c r="B100" t="inlineStr">
        <is>
          <t>avverkningsanmälan</t>
        </is>
      </c>
      <c r="C100" t="inlineStr">
        <is>
          <t>Föryngringsavverkning</t>
        </is>
      </c>
      <c r="D100" s="1" t="n">
        <v>44552</v>
      </c>
      <c r="E100" s="1" t="n">
        <v>46218</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1719-2022</t>
        </is>
      </c>
      <c r="B101" t="inlineStr">
        <is>
          <t>avverkningsanmälan</t>
        </is>
      </c>
      <c r="C101" t="inlineStr">
        <is>
          <t>Föryngringsavverkning</t>
        </is>
      </c>
      <c r="D101" s="1" t="n">
        <v>44574</v>
      </c>
      <c r="E101" s="1" t="n">
        <v>46218</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s="2" t="inlineStr"/>
    </row>
    <row r="102" ht="15" customHeight="1">
      <c r="A102" t="inlineStr">
        <is>
          <t>A 70324-2021</t>
        </is>
      </c>
      <c r="B102" t="inlineStr">
        <is>
          <t>avverkningsanmälan</t>
        </is>
      </c>
      <c r="C102" t="inlineStr">
        <is>
          <t>Föryngringsavverkning</t>
        </is>
      </c>
      <c r="D102" s="1" t="n">
        <v>44536</v>
      </c>
      <c r="E102" s="1" t="n">
        <v>46218</v>
      </c>
      <c r="F102" t="inlineStr">
        <is>
          <t>KRONOBERGS LÄN</t>
        </is>
      </c>
      <c r="G102" t="inlineStr">
        <is>
          <t>UPPVIDINGE</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51384-2021</t>
        </is>
      </c>
      <c r="B103" t="inlineStr">
        <is>
          <t>avverkningsanmälan</t>
        </is>
      </c>
      <c r="C103" t="inlineStr">
        <is>
          <t>Föryngringsavverkning</t>
        </is>
      </c>
      <c r="D103" s="1" t="n">
        <v>44461</v>
      </c>
      <c r="E103" s="1" t="n">
        <v>46218</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64688-2021</t>
        </is>
      </c>
      <c r="B104" t="inlineStr">
        <is>
          <t>avverkningsanmälan</t>
        </is>
      </c>
      <c r="C104" t="inlineStr">
        <is>
          <t>Föryngringsavverkning</t>
        </is>
      </c>
      <c r="D104" s="1" t="n">
        <v>44510</v>
      </c>
      <c r="E104" s="1" t="n">
        <v>46218</v>
      </c>
      <c r="F104" t="inlineStr">
        <is>
          <t>KRONOBERGS LÄN</t>
        </is>
      </c>
      <c r="G104" t="inlineStr">
        <is>
          <t>UPPVIDINGE</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50143-2021</t>
        </is>
      </c>
      <c r="B105" t="inlineStr">
        <is>
          <t>avverkningsanmälan</t>
        </is>
      </c>
      <c r="C105" t="inlineStr">
        <is>
          <t>Avverkning för annat ändamål</t>
        </is>
      </c>
      <c r="D105" s="1" t="n">
        <v>44456</v>
      </c>
      <c r="E105" s="1" t="n">
        <v>46218</v>
      </c>
      <c r="F105" t="inlineStr">
        <is>
          <t>KRONOBERGS LÄN</t>
        </is>
      </c>
      <c r="G105" t="inlineStr">
        <is>
          <t>UPPVIDINGE</t>
        </is>
      </c>
      <c r="H105" t="inlineStr">
        <is>
          <t>Sveaskog</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38267-2022</t>
        </is>
      </c>
      <c r="B106" t="inlineStr">
        <is>
          <t>avverkningsanmälan</t>
        </is>
      </c>
      <c r="C106" t="inlineStr">
        <is>
          <t>Föryngringsavverkning</t>
        </is>
      </c>
      <c r="D106" s="1" t="n">
        <v>44812</v>
      </c>
      <c r="E106" s="1" t="n">
        <v>46218</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49720-2022</t>
        </is>
      </c>
      <c r="B107" t="inlineStr">
        <is>
          <t>avverkningsanmälan</t>
        </is>
      </c>
      <c r="C107" t="inlineStr">
        <is>
          <t>Föryngringsavverkning</t>
        </is>
      </c>
      <c r="D107" s="1" t="n">
        <v>44859</v>
      </c>
      <c r="E107" s="1" t="n">
        <v>46218</v>
      </c>
      <c r="F107" t="inlineStr">
        <is>
          <t>KRONOBERGS LÄN</t>
        </is>
      </c>
      <c r="G107" t="inlineStr">
        <is>
          <t>UPPVIDINGE</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1718-2022</t>
        </is>
      </c>
      <c r="B108" t="inlineStr">
        <is>
          <t>avverkningsanmälan</t>
        </is>
      </c>
      <c r="C108" t="inlineStr">
        <is>
          <t>Föryngringsavverkning</t>
        </is>
      </c>
      <c r="D108" s="1" t="n">
        <v>44574</v>
      </c>
      <c r="E108" s="1" t="n">
        <v>46218</v>
      </c>
      <c r="F108" t="inlineStr">
        <is>
          <t>KRONOBERGS LÄN</t>
        </is>
      </c>
      <c r="G108" t="inlineStr">
        <is>
          <t>UPPVIDINGE</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49748-2022</t>
        </is>
      </c>
      <c r="B109" t="inlineStr">
        <is>
          <t>avverkningsanmälan</t>
        </is>
      </c>
      <c r="C109" t="inlineStr">
        <is>
          <t>Föryngringsavverkning</t>
        </is>
      </c>
      <c r="D109" s="1" t="n">
        <v>44859</v>
      </c>
      <c r="E109" s="1" t="n">
        <v>46218</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16968-2022</t>
        </is>
      </c>
      <c r="B110" t="inlineStr">
        <is>
          <t>avverkningsanmälan</t>
        </is>
      </c>
      <c r="C110" t="inlineStr">
        <is>
          <t>Föryngringsavverkning</t>
        </is>
      </c>
      <c r="D110" s="1" t="n">
        <v>44676</v>
      </c>
      <c r="E110" s="1" t="n">
        <v>46218</v>
      </c>
      <c r="F110" t="inlineStr">
        <is>
          <t>KRONOBERGS LÄN</t>
        </is>
      </c>
      <c r="G110" t="inlineStr">
        <is>
          <t>UPPVIDINGE</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49715-2022</t>
        </is>
      </c>
      <c r="B111" t="inlineStr">
        <is>
          <t>avverkningsanmälan</t>
        </is>
      </c>
      <c r="C111" t="inlineStr">
        <is>
          <t>Föryngringsavverkning</t>
        </is>
      </c>
      <c r="D111" s="1" t="n">
        <v>44859</v>
      </c>
      <c r="E111" s="1" t="n">
        <v>46218</v>
      </c>
      <c r="F111" t="inlineStr">
        <is>
          <t>KRONOBERGS LÄN</t>
        </is>
      </c>
      <c r="G111" t="inlineStr">
        <is>
          <t>UPPVIDINGE</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49744-2022</t>
        </is>
      </c>
      <c r="B112" t="inlineStr">
        <is>
          <t>avverkningsanmälan</t>
        </is>
      </c>
      <c r="C112" t="inlineStr">
        <is>
          <t>Föryngringsavverkning</t>
        </is>
      </c>
      <c r="D112" s="1" t="n">
        <v>44859</v>
      </c>
      <c r="E112" s="1" t="n">
        <v>46218</v>
      </c>
      <c r="F112" t="inlineStr">
        <is>
          <t>KRONOBERGS LÄN</t>
        </is>
      </c>
      <c r="G112" t="inlineStr">
        <is>
          <t>UPPVIDINGE</t>
        </is>
      </c>
      <c r="I112" t="n">
        <v>2.8</v>
      </c>
      <c r="J112" t="n">
        <v>0</v>
      </c>
      <c r="K112" t="n">
        <v>0</v>
      </c>
      <c r="L112" t="n">
        <v>0</v>
      </c>
      <c r="M112" t="n">
        <v>0</v>
      </c>
      <c r="N112" t="n">
        <v>0</v>
      </c>
      <c r="O112" t="n">
        <v>0</v>
      </c>
      <c r="P112" t="n">
        <v>0</v>
      </c>
      <c r="Q112" t="n">
        <v>0</v>
      </c>
      <c r="R112" t="n">
        <v>0</v>
      </c>
      <c r="S112" t="n">
        <v>0</v>
      </c>
      <c r="T112" t="n">
        <v>0</v>
      </c>
      <c r="U112" s="2" t="inlineStr"/>
    </row>
    <row r="113" ht="15" customHeight="1">
      <c r="A113" t="inlineStr">
        <is>
          <t>A 28767-2022</t>
        </is>
      </c>
      <c r="B113" t="inlineStr">
        <is>
          <t>avverkningsanmälan</t>
        </is>
      </c>
      <c r="C113" t="inlineStr">
        <is>
          <t>Föryngringsavverkning</t>
        </is>
      </c>
      <c r="D113" s="1" t="n">
        <v>44749</v>
      </c>
      <c r="E113" s="1" t="n">
        <v>46218</v>
      </c>
      <c r="F113" t="inlineStr">
        <is>
          <t>KRONOBERGS LÄN</t>
        </is>
      </c>
      <c r="G113" t="inlineStr">
        <is>
          <t>UPPVIDINGE</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1709-2022</t>
        </is>
      </c>
      <c r="B114" t="inlineStr">
        <is>
          <t>avverkningsanmälan</t>
        </is>
      </c>
      <c r="C114" t="inlineStr">
        <is>
          <t>Föryngringsavverkning</t>
        </is>
      </c>
      <c r="D114" s="1" t="n">
        <v>44574</v>
      </c>
      <c r="E114" s="1" t="n">
        <v>46218</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6929-2022</t>
        </is>
      </c>
      <c r="B115" t="inlineStr">
        <is>
          <t>avverkningsanmälan</t>
        </is>
      </c>
      <c r="C115" t="inlineStr">
        <is>
          <t>Föryngringsavverkning</t>
        </is>
      </c>
      <c r="D115" s="1" t="n">
        <v>44602</v>
      </c>
      <c r="E115" s="1" t="n">
        <v>46218</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2666-2022</t>
        </is>
      </c>
      <c r="B116" t="inlineStr">
        <is>
          <t>avverkningsanmälan</t>
        </is>
      </c>
      <c r="C116" t="inlineStr">
        <is>
          <t>Föryngringsavverkning</t>
        </is>
      </c>
      <c r="D116" s="1" t="n">
        <v>44580</v>
      </c>
      <c r="E116" s="1" t="n">
        <v>46218</v>
      </c>
      <c r="F116" t="inlineStr">
        <is>
          <t>KRONOBERGS LÄN</t>
        </is>
      </c>
      <c r="G116" t="inlineStr">
        <is>
          <t>UPPVIDINGE</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6807-2022</t>
        </is>
      </c>
      <c r="B117" t="inlineStr">
        <is>
          <t>avverkningsanmälan</t>
        </is>
      </c>
      <c r="C117" t="inlineStr">
        <is>
          <t>Föryngringsavverkning</t>
        </is>
      </c>
      <c r="D117" s="1" t="n">
        <v>44602</v>
      </c>
      <c r="E117" s="1" t="n">
        <v>46218</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49706-2022</t>
        </is>
      </c>
      <c r="B118" t="inlineStr">
        <is>
          <t>avverkningsanmälan</t>
        </is>
      </c>
      <c r="C118" t="inlineStr">
        <is>
          <t>Föryngringsavverkning</t>
        </is>
      </c>
      <c r="D118" s="1" t="n">
        <v>44859</v>
      </c>
      <c r="E118" s="1" t="n">
        <v>46218</v>
      </c>
      <c r="F118" t="inlineStr">
        <is>
          <t>KRONOBERGS LÄN</t>
        </is>
      </c>
      <c r="G118" t="inlineStr">
        <is>
          <t>UPPVIDINGE</t>
        </is>
      </c>
      <c r="I118" t="n">
        <v>4.1</v>
      </c>
      <c r="J118" t="n">
        <v>0</v>
      </c>
      <c r="K118" t="n">
        <v>0</v>
      </c>
      <c r="L118" t="n">
        <v>0</v>
      </c>
      <c r="M118" t="n">
        <v>0</v>
      </c>
      <c r="N118" t="n">
        <v>0</v>
      </c>
      <c r="O118" t="n">
        <v>0</v>
      </c>
      <c r="P118" t="n">
        <v>0</v>
      </c>
      <c r="Q118" t="n">
        <v>0</v>
      </c>
      <c r="R118" t="n">
        <v>0</v>
      </c>
      <c r="S118" t="n">
        <v>0</v>
      </c>
      <c r="T118" t="n">
        <v>0</v>
      </c>
      <c r="U118" s="2" t="inlineStr"/>
    </row>
    <row r="119" ht="15" customHeight="1">
      <c r="A119" t="inlineStr">
        <is>
          <t>A 42865-2021</t>
        </is>
      </c>
      <c r="B119" t="inlineStr">
        <is>
          <t>avverkningsanmälan</t>
        </is>
      </c>
      <c r="C119" t="inlineStr">
        <is>
          <t>Föryngringsavverkning</t>
        </is>
      </c>
      <c r="D119" s="1" t="n">
        <v>44430</v>
      </c>
      <c r="E119" s="1" t="n">
        <v>46218</v>
      </c>
      <c r="F119" t="inlineStr">
        <is>
          <t>KRONOBERGS LÄN</t>
        </is>
      </c>
      <c r="G119" t="inlineStr">
        <is>
          <t>UPPVIDINGE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34669-2022</t>
        </is>
      </c>
      <c r="B120" t="inlineStr">
        <is>
          <t>avverkningsanmälan</t>
        </is>
      </c>
      <c r="C120" t="inlineStr">
        <is>
          <t>Föryngringsavverkning</t>
        </is>
      </c>
      <c r="D120" s="1" t="n">
        <v>44795</v>
      </c>
      <c r="E120" s="1" t="n">
        <v>46218</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30111-2022</t>
        </is>
      </c>
      <c r="B121" t="inlineStr">
        <is>
          <t>avverkningsanmälan</t>
        </is>
      </c>
      <c r="C121" t="inlineStr">
        <is>
          <t>Föryngringsavverkning</t>
        </is>
      </c>
      <c r="D121" s="1" t="n">
        <v>44757</v>
      </c>
      <c r="E121" s="1" t="n">
        <v>46218</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55325-2022</t>
        </is>
      </c>
      <c r="B122" t="inlineStr">
        <is>
          <t>avverkningsanmälan</t>
        </is>
      </c>
      <c r="C122" t="inlineStr">
        <is>
          <t>Föryngringsavverkning</t>
        </is>
      </c>
      <c r="D122" s="1" t="n">
        <v>44887</v>
      </c>
      <c r="E122" s="1" t="n">
        <v>46218</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4234-2022</t>
        </is>
      </c>
      <c r="B123" t="inlineStr">
        <is>
          <t>avverkningsanmälan</t>
        </is>
      </c>
      <c r="C123" t="inlineStr">
        <is>
          <t>Föryngringsavverkning</t>
        </is>
      </c>
      <c r="D123" s="1" t="n">
        <v>44588</v>
      </c>
      <c r="E123" s="1" t="n">
        <v>46218</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50141-2021</t>
        </is>
      </c>
      <c r="B124" t="inlineStr">
        <is>
          <t>avverkningsanmälan</t>
        </is>
      </c>
      <c r="C124" t="inlineStr">
        <is>
          <t>Avverkning för annat ändamål</t>
        </is>
      </c>
      <c r="D124" s="1" t="n">
        <v>44456</v>
      </c>
      <c r="E124" s="1" t="n">
        <v>46218</v>
      </c>
      <c r="F124" t="inlineStr">
        <is>
          <t>KRONOBERGS LÄN</t>
        </is>
      </c>
      <c r="G124" t="inlineStr">
        <is>
          <t>UPPVIDINGE</t>
        </is>
      </c>
      <c r="H124" t="inlineStr">
        <is>
          <t>Sveaskog</t>
        </is>
      </c>
      <c r="I124" t="n">
        <v>0.2</v>
      </c>
      <c r="J124" t="n">
        <v>0</v>
      </c>
      <c r="K124" t="n">
        <v>0</v>
      </c>
      <c r="L124" t="n">
        <v>0</v>
      </c>
      <c r="M124" t="n">
        <v>0</v>
      </c>
      <c r="N124" t="n">
        <v>0</v>
      </c>
      <c r="O124" t="n">
        <v>0</v>
      </c>
      <c r="P124" t="n">
        <v>0</v>
      </c>
      <c r="Q124" t="n">
        <v>0</v>
      </c>
      <c r="R124" t="n">
        <v>0</v>
      </c>
      <c r="S124" t="n">
        <v>0</v>
      </c>
      <c r="T124" t="n">
        <v>0</v>
      </c>
      <c r="U124" s="2" t="inlineStr"/>
    </row>
    <row r="125" ht="15" customHeight="1">
      <c r="A125" t="inlineStr">
        <is>
          <t>A 44121-2021</t>
        </is>
      </c>
      <c r="B125" t="inlineStr">
        <is>
          <t>avverkningsanmälan</t>
        </is>
      </c>
      <c r="C125" t="inlineStr">
        <is>
          <t>Avverkning för annat ändamål</t>
        </is>
      </c>
      <c r="D125" s="1" t="n">
        <v>44434</v>
      </c>
      <c r="E125" s="1" t="n">
        <v>46218</v>
      </c>
      <c r="F125" t="inlineStr">
        <is>
          <t>KRONOBERGS LÄN</t>
        </is>
      </c>
      <c r="G125" t="inlineStr">
        <is>
          <t>UPPVIDINGE</t>
        </is>
      </c>
      <c r="I125" t="n">
        <v>0.2</v>
      </c>
      <c r="J125" t="n">
        <v>0</v>
      </c>
      <c r="K125" t="n">
        <v>0</v>
      </c>
      <c r="L125" t="n">
        <v>0</v>
      </c>
      <c r="M125" t="n">
        <v>0</v>
      </c>
      <c r="N125" t="n">
        <v>0</v>
      </c>
      <c r="O125" t="n">
        <v>0</v>
      </c>
      <c r="P125" t="n">
        <v>0</v>
      </c>
      <c r="Q125" t="n">
        <v>0</v>
      </c>
      <c r="R125" t="n">
        <v>0</v>
      </c>
      <c r="S125" t="n">
        <v>0</v>
      </c>
      <c r="T125" t="n">
        <v>0</v>
      </c>
      <c r="U125" s="2" t="inlineStr"/>
    </row>
    <row r="126" ht="15" customHeight="1">
      <c r="A126" t="inlineStr">
        <is>
          <t>A 46173-2022</t>
        </is>
      </c>
      <c r="B126" t="inlineStr">
        <is>
          <t>avverkningsanmälan</t>
        </is>
      </c>
      <c r="C126" t="inlineStr">
        <is>
          <t>Föryngringsavverkning</t>
        </is>
      </c>
      <c r="D126" s="1" t="n">
        <v>44845</v>
      </c>
      <c r="E126" s="1" t="n">
        <v>46218</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73661-2021</t>
        </is>
      </c>
      <c r="B127" t="inlineStr">
        <is>
          <t>avverkningsanmälan</t>
        </is>
      </c>
      <c r="C127" t="inlineStr">
        <is>
          <t>Föryngringsavverkning</t>
        </is>
      </c>
      <c r="D127" s="1" t="n">
        <v>44552</v>
      </c>
      <c r="E127" s="1" t="n">
        <v>46218</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57470-2021</t>
        </is>
      </c>
      <c r="B128" t="inlineStr">
        <is>
          <t>avverkningsanmälan</t>
        </is>
      </c>
      <c r="C128" t="inlineStr">
        <is>
          <t>Föryngringsavverkning</t>
        </is>
      </c>
      <c r="D128" s="1" t="n">
        <v>44483</v>
      </c>
      <c r="E128" s="1" t="n">
        <v>46218</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57471-2021</t>
        </is>
      </c>
      <c r="B129" t="inlineStr">
        <is>
          <t>avverkningsanmälan</t>
        </is>
      </c>
      <c r="C129" t="inlineStr">
        <is>
          <t>Föryngringsavverkning</t>
        </is>
      </c>
      <c r="D129" s="1" t="n">
        <v>44483</v>
      </c>
      <c r="E129" s="1" t="n">
        <v>46218</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62479-2021</t>
        </is>
      </c>
      <c r="B130" t="inlineStr">
        <is>
          <t>avverkningsanmälan</t>
        </is>
      </c>
      <c r="C130" t="inlineStr">
        <is>
          <t>Föryngringsavverkning</t>
        </is>
      </c>
      <c r="D130" s="1" t="n">
        <v>44503</v>
      </c>
      <c r="E130" s="1" t="n">
        <v>46218</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55353-2021</t>
        </is>
      </c>
      <c r="B131" t="inlineStr">
        <is>
          <t>avverkningsanmälan</t>
        </is>
      </c>
      <c r="C131" t="inlineStr">
        <is>
          <t>Föryngringsavverkning</t>
        </is>
      </c>
      <c r="D131" s="1" t="n">
        <v>44475</v>
      </c>
      <c r="E131" s="1" t="n">
        <v>46218</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64679-2021</t>
        </is>
      </c>
      <c r="B132" t="inlineStr">
        <is>
          <t>avverkningsanmälan</t>
        </is>
      </c>
      <c r="C132" t="inlineStr">
        <is>
          <t>Föryngringsavverkning</t>
        </is>
      </c>
      <c r="D132" s="1" t="n">
        <v>44510</v>
      </c>
      <c r="E132" s="1" t="n">
        <v>46218</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36141-2022</t>
        </is>
      </c>
      <c r="B133" t="inlineStr">
        <is>
          <t>avverkningsanmälan</t>
        </is>
      </c>
      <c r="C133" t="inlineStr">
        <is>
          <t>Föryngringsavverkning</t>
        </is>
      </c>
      <c r="D133" s="1" t="n">
        <v>44803</v>
      </c>
      <c r="E133" s="1" t="n">
        <v>46218</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55317-2022</t>
        </is>
      </c>
      <c r="B134" t="inlineStr">
        <is>
          <t>avverkningsanmälan</t>
        </is>
      </c>
      <c r="C134" t="inlineStr">
        <is>
          <t>Föryngringsavverkning</t>
        </is>
      </c>
      <c r="D134" s="1" t="n">
        <v>44887</v>
      </c>
      <c r="E134" s="1" t="n">
        <v>46218</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8299-2022</t>
        </is>
      </c>
      <c r="B135" t="inlineStr">
        <is>
          <t>avverkningsanmälan</t>
        </is>
      </c>
      <c r="C135" t="inlineStr">
        <is>
          <t>Avverkning för annat ändamål</t>
        </is>
      </c>
      <c r="D135" s="1" t="n">
        <v>44610</v>
      </c>
      <c r="E135" s="1" t="n">
        <v>46218</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8092-2022</t>
        </is>
      </c>
      <c r="B136" t="inlineStr">
        <is>
          <t>avverkningsanmälan</t>
        </is>
      </c>
      <c r="C136" t="inlineStr">
        <is>
          <t>Föryngringsavverkning</t>
        </is>
      </c>
      <c r="D136" s="1" t="n">
        <v>44609</v>
      </c>
      <c r="E136" s="1" t="n">
        <v>46218</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55545-2021</t>
        </is>
      </c>
      <c r="B137" t="inlineStr">
        <is>
          <t>avverkningsanmälan</t>
        </is>
      </c>
      <c r="C137" t="inlineStr">
        <is>
          <t>Föryngringsavverkning</t>
        </is>
      </c>
      <c r="D137" s="1" t="n">
        <v>44475</v>
      </c>
      <c r="E137" s="1" t="n">
        <v>46218</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34734-2022</t>
        </is>
      </c>
      <c r="B138" t="inlineStr">
        <is>
          <t>avverkningsanmälan</t>
        </is>
      </c>
      <c r="C138" t="inlineStr">
        <is>
          <t>Föryngringsavverkning</t>
        </is>
      </c>
      <c r="D138" s="1" t="n">
        <v>44795</v>
      </c>
      <c r="E138" s="1" t="n">
        <v>46218</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34735-2022</t>
        </is>
      </c>
      <c r="B139" t="inlineStr">
        <is>
          <t>avverkningsanmälan</t>
        </is>
      </c>
      <c r="C139" t="inlineStr">
        <is>
          <t>Föryngringsavverkning</t>
        </is>
      </c>
      <c r="D139" s="1" t="n">
        <v>44795</v>
      </c>
      <c r="E139" s="1" t="n">
        <v>46218</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25199-2022</t>
        </is>
      </c>
      <c r="B140" t="inlineStr">
        <is>
          <t>avverkningsanmälan</t>
        </is>
      </c>
      <c r="C140" t="inlineStr">
        <is>
          <t>Föryngringsavverkning</t>
        </is>
      </c>
      <c r="D140" s="1" t="n">
        <v>44729</v>
      </c>
      <c r="E140" s="1" t="n">
        <v>46218</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43549-2022</t>
        </is>
      </c>
      <c r="B141" t="inlineStr">
        <is>
          <t>avverkningsanmälan</t>
        </is>
      </c>
      <c r="C141" t="inlineStr">
        <is>
          <t>Föryngringsavverkning</t>
        </is>
      </c>
      <c r="D141" s="1" t="n">
        <v>44837</v>
      </c>
      <c r="E141" s="1" t="n">
        <v>46218</v>
      </c>
      <c r="F141" t="inlineStr">
        <is>
          <t>KRONOBERGS LÄN</t>
        </is>
      </c>
      <c r="G141" t="inlineStr">
        <is>
          <t>UPPVIDINGE</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3153-2022</t>
        </is>
      </c>
      <c r="B142" t="inlineStr">
        <is>
          <t>avverkningsanmälan</t>
        </is>
      </c>
      <c r="C142" t="inlineStr">
        <is>
          <t>Föryngringsavverkning</t>
        </is>
      </c>
      <c r="D142" s="1" t="n">
        <v>44582</v>
      </c>
      <c r="E142" s="1" t="n">
        <v>46218</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1689-2022</t>
        </is>
      </c>
      <c r="B143" t="inlineStr">
        <is>
          <t>avverkningsanmälan</t>
        </is>
      </c>
      <c r="C143" t="inlineStr">
        <is>
          <t>Föryngringsavverkning</t>
        </is>
      </c>
      <c r="D143" s="1" t="n">
        <v>44574</v>
      </c>
      <c r="E143" s="1" t="n">
        <v>46218</v>
      </c>
      <c r="F143" t="inlineStr">
        <is>
          <t>KRONOBERGS LÄN</t>
        </is>
      </c>
      <c r="G143" t="inlineStr">
        <is>
          <t>UPPVIDINGE</t>
        </is>
      </c>
      <c r="I143" t="n">
        <v>4.4</v>
      </c>
      <c r="J143" t="n">
        <v>0</v>
      </c>
      <c r="K143" t="n">
        <v>0</v>
      </c>
      <c r="L143" t="n">
        <v>0</v>
      </c>
      <c r="M143" t="n">
        <v>0</v>
      </c>
      <c r="N143" t="n">
        <v>0</v>
      </c>
      <c r="O143" t="n">
        <v>0</v>
      </c>
      <c r="P143" t="n">
        <v>0</v>
      </c>
      <c r="Q143" t="n">
        <v>0</v>
      </c>
      <c r="R143" t="n">
        <v>0</v>
      </c>
      <c r="S143" t="n">
        <v>0</v>
      </c>
      <c r="T143" t="n">
        <v>0</v>
      </c>
      <c r="U143" s="2" t="inlineStr"/>
    </row>
    <row r="144" ht="15" customHeight="1">
      <c r="A144" t="inlineStr">
        <is>
          <t>A 21250-2022</t>
        </is>
      </c>
      <c r="B144" t="inlineStr">
        <is>
          <t>avverkningsanmälan</t>
        </is>
      </c>
      <c r="C144" t="inlineStr">
        <is>
          <t>Föryngringsavverkning</t>
        </is>
      </c>
      <c r="D144" s="1" t="n">
        <v>44705</v>
      </c>
      <c r="E144" s="1" t="n">
        <v>46218</v>
      </c>
      <c r="F144" t="inlineStr">
        <is>
          <t>KRONOBERGS LÄN</t>
        </is>
      </c>
      <c r="G144" t="inlineStr">
        <is>
          <t>UPPVIDINGE</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49724-2022</t>
        </is>
      </c>
      <c r="B145" t="inlineStr">
        <is>
          <t>avverkningsanmälan</t>
        </is>
      </c>
      <c r="C145" t="inlineStr">
        <is>
          <t>Föryngringsavverkning</t>
        </is>
      </c>
      <c r="D145" s="1" t="n">
        <v>44859</v>
      </c>
      <c r="E145" s="1" t="n">
        <v>46218</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40487-2021</t>
        </is>
      </c>
      <c r="B146" t="inlineStr">
        <is>
          <t>avverkningsanmälan</t>
        </is>
      </c>
      <c r="C146" t="inlineStr">
        <is>
          <t>Föryngringsavverkning</t>
        </is>
      </c>
      <c r="D146" s="1" t="n">
        <v>44420</v>
      </c>
      <c r="E146" s="1" t="n">
        <v>46218</v>
      </c>
      <c r="F146" t="inlineStr">
        <is>
          <t>KRONOBERGS LÄN</t>
        </is>
      </c>
      <c r="G146" t="inlineStr">
        <is>
          <t>UPPVIDINGE</t>
        </is>
      </c>
      <c r="I146" t="n">
        <v>3.1</v>
      </c>
      <c r="J146" t="n">
        <v>0</v>
      </c>
      <c r="K146" t="n">
        <v>0</v>
      </c>
      <c r="L146" t="n">
        <v>0</v>
      </c>
      <c r="M146" t="n">
        <v>0</v>
      </c>
      <c r="N146" t="n">
        <v>0</v>
      </c>
      <c r="O146" t="n">
        <v>0</v>
      </c>
      <c r="P146" t="n">
        <v>0</v>
      </c>
      <c r="Q146" t="n">
        <v>0</v>
      </c>
      <c r="R146" t="n">
        <v>0</v>
      </c>
      <c r="S146" t="n">
        <v>0</v>
      </c>
      <c r="T146" t="n">
        <v>0</v>
      </c>
      <c r="U146" s="2" t="inlineStr"/>
    </row>
    <row r="147" ht="15" customHeight="1">
      <c r="A147" t="inlineStr">
        <is>
          <t>A 52509-2021</t>
        </is>
      </c>
      <c r="B147" t="inlineStr">
        <is>
          <t>avverkningsanmälan</t>
        </is>
      </c>
      <c r="C147" t="inlineStr">
        <is>
          <t>Föryngringsavverkning</t>
        </is>
      </c>
      <c r="D147" s="1" t="n">
        <v>44466</v>
      </c>
      <c r="E147" s="1" t="n">
        <v>46218</v>
      </c>
      <c r="F147" t="inlineStr">
        <is>
          <t>KRONOBERGS LÄN</t>
        </is>
      </c>
      <c r="G147" t="inlineStr">
        <is>
          <t>UPPVIDINGE</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6923-2022</t>
        </is>
      </c>
      <c r="B148" t="inlineStr">
        <is>
          <t>avverkningsanmälan</t>
        </is>
      </c>
      <c r="C148" t="inlineStr">
        <is>
          <t>Föryngringsavverkning</t>
        </is>
      </c>
      <c r="D148" s="1" t="n">
        <v>44603</v>
      </c>
      <c r="E148" s="1" t="n">
        <v>46218</v>
      </c>
      <c r="F148" t="inlineStr">
        <is>
          <t>KRONOBERGS LÄN</t>
        </is>
      </c>
      <c r="G148" t="inlineStr">
        <is>
          <t>UPPVIDINGE</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6924-2022</t>
        </is>
      </c>
      <c r="B149" t="inlineStr">
        <is>
          <t>avverkningsanmälan</t>
        </is>
      </c>
      <c r="C149" t="inlineStr">
        <is>
          <t>Föryngringsavverkning</t>
        </is>
      </c>
      <c r="D149" s="1" t="n">
        <v>44602</v>
      </c>
      <c r="E149" s="1" t="n">
        <v>46218</v>
      </c>
      <c r="F149" t="inlineStr">
        <is>
          <t>KRONOBERGS LÄN</t>
        </is>
      </c>
      <c r="G149" t="inlineStr">
        <is>
          <t>UPPVIDINGE</t>
        </is>
      </c>
      <c r="I149" t="n">
        <v>2.8</v>
      </c>
      <c r="J149" t="n">
        <v>0</v>
      </c>
      <c r="K149" t="n">
        <v>0</v>
      </c>
      <c r="L149" t="n">
        <v>0</v>
      </c>
      <c r="M149" t="n">
        <v>0</v>
      </c>
      <c r="N149" t="n">
        <v>0</v>
      </c>
      <c r="O149" t="n">
        <v>0</v>
      </c>
      <c r="P149" t="n">
        <v>0</v>
      </c>
      <c r="Q149" t="n">
        <v>0</v>
      </c>
      <c r="R149" t="n">
        <v>0</v>
      </c>
      <c r="S149" t="n">
        <v>0</v>
      </c>
      <c r="T149" t="n">
        <v>0</v>
      </c>
      <c r="U149" s="2" t="inlineStr"/>
    </row>
    <row r="150" ht="15" customHeight="1">
      <c r="A150" t="inlineStr">
        <is>
          <t>A 6926-2022</t>
        </is>
      </c>
      <c r="B150" t="inlineStr">
        <is>
          <t>avverkningsanmälan</t>
        </is>
      </c>
      <c r="C150" t="inlineStr">
        <is>
          <t>Föryngringsavverkning</t>
        </is>
      </c>
      <c r="D150" s="1" t="n">
        <v>44602</v>
      </c>
      <c r="E150" s="1" t="n">
        <v>46218</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67493-2021</t>
        </is>
      </c>
      <c r="B151" t="inlineStr">
        <is>
          <t>avverkningsanmälan</t>
        </is>
      </c>
      <c r="C151" t="inlineStr">
        <is>
          <t>Föryngringsavverkning</t>
        </is>
      </c>
      <c r="D151" s="1" t="n">
        <v>44524</v>
      </c>
      <c r="E151" s="1" t="n">
        <v>46218</v>
      </c>
      <c r="F151" t="inlineStr">
        <is>
          <t>KRONOBERGS LÄN</t>
        </is>
      </c>
      <c r="G151" t="inlineStr">
        <is>
          <t>UPPVIDINGE</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36854-2021</t>
        </is>
      </c>
      <c r="B152" t="inlineStr">
        <is>
          <t>avverkningsanmälan</t>
        </is>
      </c>
      <c r="C152" t="inlineStr">
        <is>
          <t>Avverkning för att bevara och utveckla /försöksver</t>
        </is>
      </c>
      <c r="D152" s="1" t="n">
        <v>44393</v>
      </c>
      <c r="E152" s="1" t="n">
        <v>46218</v>
      </c>
      <c r="F152" t="inlineStr">
        <is>
          <t>KRONOBERGS LÄN</t>
        </is>
      </c>
      <c r="G152" t="inlineStr">
        <is>
          <t>UPPVIDINGE</t>
        </is>
      </c>
      <c r="H152" t="inlineStr">
        <is>
          <t>Sveaskog</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4693-2022</t>
        </is>
      </c>
      <c r="B153" t="inlineStr">
        <is>
          <t>avverkningsanmälan</t>
        </is>
      </c>
      <c r="C153" t="inlineStr">
        <is>
          <t>Föryngringsavverkning</t>
        </is>
      </c>
      <c r="D153" s="1" t="n">
        <v>44592</v>
      </c>
      <c r="E153" s="1" t="n">
        <v>46218</v>
      </c>
      <c r="F153" t="inlineStr">
        <is>
          <t>KRONOBERGS LÄN</t>
        </is>
      </c>
      <c r="G153" t="inlineStr">
        <is>
          <t>UPPVIDINGE</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23463-2022</t>
        </is>
      </c>
      <c r="B154" t="inlineStr">
        <is>
          <t>avverkningsanmälan</t>
        </is>
      </c>
      <c r="C154" t="inlineStr">
        <is>
          <t>Föryngringsavverkning</t>
        </is>
      </c>
      <c r="D154" s="1" t="n">
        <v>44721</v>
      </c>
      <c r="E154" s="1" t="n">
        <v>46218</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41316-2021</t>
        </is>
      </c>
      <c r="B155" t="inlineStr">
        <is>
          <t>avverkningsanmälan</t>
        </is>
      </c>
      <c r="C155" t="inlineStr">
        <is>
          <t>Föryngringsavverkning</t>
        </is>
      </c>
      <c r="D155" s="1" t="n">
        <v>44424</v>
      </c>
      <c r="E155" s="1" t="n">
        <v>46218</v>
      </c>
      <c r="F155" t="inlineStr">
        <is>
          <t>KRONOBERGS LÄN</t>
        </is>
      </c>
      <c r="G155" t="inlineStr">
        <is>
          <t>UPPVIDINGE</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6622-2022</t>
        </is>
      </c>
      <c r="B156" t="inlineStr">
        <is>
          <t>avverkningsanmälan</t>
        </is>
      </c>
      <c r="C156" t="inlineStr">
        <is>
          <t>Föryngringsavverkning</t>
        </is>
      </c>
      <c r="D156" s="1" t="n">
        <v>44601</v>
      </c>
      <c r="E156" s="1" t="n">
        <v>46218</v>
      </c>
      <c r="F156" t="inlineStr">
        <is>
          <t>KRONOBERGS LÄN</t>
        </is>
      </c>
      <c r="G156" t="inlineStr">
        <is>
          <t>UPPVIDINGE</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48273-2022</t>
        </is>
      </c>
      <c r="B157" t="inlineStr">
        <is>
          <t>avverkningsanmälan</t>
        </is>
      </c>
      <c r="C157" t="inlineStr">
        <is>
          <t>Föryngringsavverkning</t>
        </is>
      </c>
      <c r="D157" s="1" t="n">
        <v>44858</v>
      </c>
      <c r="E157" s="1" t="n">
        <v>46218</v>
      </c>
      <c r="F157" t="inlineStr">
        <is>
          <t>KRONOBERGS LÄN</t>
        </is>
      </c>
      <c r="G157" t="inlineStr">
        <is>
          <t>UPPVIDINGE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17851-2022</t>
        </is>
      </c>
      <c r="B158" t="inlineStr">
        <is>
          <t>avverkningsanmälan</t>
        </is>
      </c>
      <c r="C158" t="inlineStr">
        <is>
          <t>Föryngringsavverkning</t>
        </is>
      </c>
      <c r="D158" s="1" t="n">
        <v>44683</v>
      </c>
      <c r="E158" s="1" t="n">
        <v>46218</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18475-2022</t>
        </is>
      </c>
      <c r="B159" t="inlineStr">
        <is>
          <t>avverkningsanmälan</t>
        </is>
      </c>
      <c r="C159" t="inlineStr">
        <is>
          <t>Föryngringsavverkning</t>
        </is>
      </c>
      <c r="D159" s="1" t="n">
        <v>44686</v>
      </c>
      <c r="E159" s="1" t="n">
        <v>46218</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s="2" t="inlineStr"/>
    </row>
    <row r="160" ht="15" customHeight="1">
      <c r="A160" t="inlineStr">
        <is>
          <t>A 50307-2021</t>
        </is>
      </c>
      <c r="B160" t="inlineStr">
        <is>
          <t>avverkningsanmälan</t>
        </is>
      </c>
      <c r="C160" t="inlineStr">
        <is>
          <t>Föryngringsavverkning</t>
        </is>
      </c>
      <c r="D160" s="1" t="n">
        <v>44459</v>
      </c>
      <c r="E160" s="1" t="n">
        <v>46218</v>
      </c>
      <c r="F160" t="inlineStr">
        <is>
          <t>KRONOBERGS LÄN</t>
        </is>
      </c>
      <c r="G160" t="inlineStr">
        <is>
          <t>UPPVIDINGE</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13429-2025</t>
        </is>
      </c>
      <c r="B161" t="inlineStr">
        <is>
          <t>avverkningsanmälan</t>
        </is>
      </c>
      <c r="C161" t="inlineStr">
        <is>
          <t>Föryngringsavverkning</t>
        </is>
      </c>
      <c r="D161" s="1" t="n">
        <v>45736</v>
      </c>
      <c r="E161" s="1" t="n">
        <v>46218</v>
      </c>
      <c r="F161" t="inlineStr">
        <is>
          <t>KRONOBERGS LÄN</t>
        </is>
      </c>
      <c r="G161" t="inlineStr">
        <is>
          <t>UPPVIDINGE</t>
        </is>
      </c>
      <c r="H161" t="inlineStr">
        <is>
          <t>Sveaskog</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8006-2022</t>
        </is>
      </c>
      <c r="B162" t="inlineStr">
        <is>
          <t>avverkningsanmälan</t>
        </is>
      </c>
      <c r="C162" t="inlineStr">
        <is>
          <t>Föryngringsavverkning</t>
        </is>
      </c>
      <c r="D162" s="1" t="n">
        <v>44607</v>
      </c>
      <c r="E162" s="1" t="n">
        <v>46218</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s="2" t="inlineStr"/>
    </row>
    <row r="163" ht="15" customHeight="1">
      <c r="A163" t="inlineStr">
        <is>
          <t>A 8013-2022</t>
        </is>
      </c>
      <c r="B163" t="inlineStr">
        <is>
          <t>avverkningsanmälan</t>
        </is>
      </c>
      <c r="C163" t="inlineStr">
        <is>
          <t>Föryngringsavverkning</t>
        </is>
      </c>
      <c r="D163" s="1" t="n">
        <v>44607</v>
      </c>
      <c r="E163" s="1" t="n">
        <v>46218</v>
      </c>
      <c r="F163" t="inlineStr">
        <is>
          <t>KRONOBERGS LÄN</t>
        </is>
      </c>
      <c r="G163" t="inlineStr">
        <is>
          <t>UPPVIDINGE</t>
        </is>
      </c>
      <c r="I163" t="n">
        <v>5.7</v>
      </c>
      <c r="J163" t="n">
        <v>0</v>
      </c>
      <c r="K163" t="n">
        <v>0</v>
      </c>
      <c r="L163" t="n">
        <v>0</v>
      </c>
      <c r="M163" t="n">
        <v>0</v>
      </c>
      <c r="N163" t="n">
        <v>0</v>
      </c>
      <c r="O163" t="n">
        <v>0</v>
      </c>
      <c r="P163" t="n">
        <v>0</v>
      </c>
      <c r="Q163" t="n">
        <v>0</v>
      </c>
      <c r="R163" t="n">
        <v>0</v>
      </c>
      <c r="S163" t="n">
        <v>0</v>
      </c>
      <c r="T163" t="n">
        <v>0</v>
      </c>
      <c r="U163" s="2" t="inlineStr"/>
    </row>
    <row r="164" ht="15" customHeight="1">
      <c r="A164" t="inlineStr">
        <is>
          <t>A 6326-2024</t>
        </is>
      </c>
      <c r="B164" t="inlineStr">
        <is>
          <t>avverkningsanmälan</t>
        </is>
      </c>
      <c r="C164" t="inlineStr">
        <is>
          <t>Föryngringsavverkning</t>
        </is>
      </c>
      <c r="D164" s="1" t="n">
        <v>45338</v>
      </c>
      <c r="E164" s="1" t="n">
        <v>46218</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s="2" t="inlineStr"/>
    </row>
    <row r="165" ht="15" customHeight="1">
      <c r="A165" t="inlineStr">
        <is>
          <t>A 6332-2024</t>
        </is>
      </c>
      <c r="B165" t="inlineStr">
        <is>
          <t>avverkningsanmälan</t>
        </is>
      </c>
      <c r="C165" t="inlineStr">
        <is>
          <t>Föryngringsavverkning</t>
        </is>
      </c>
      <c r="D165" s="1" t="n">
        <v>45338</v>
      </c>
      <c r="E165" s="1" t="n">
        <v>46218</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s="2" t="inlineStr"/>
    </row>
    <row r="166" ht="15" customHeight="1">
      <c r="A166" t="inlineStr">
        <is>
          <t>A 6343-2024</t>
        </is>
      </c>
      <c r="B166" t="inlineStr">
        <is>
          <t>avverkningsanmälan</t>
        </is>
      </c>
      <c r="C166" t="inlineStr">
        <is>
          <t>Föryngringsavverkning</t>
        </is>
      </c>
      <c r="D166" s="1" t="n">
        <v>45338</v>
      </c>
      <c r="E166" s="1" t="n">
        <v>46218</v>
      </c>
      <c r="F166" t="inlineStr">
        <is>
          <t>KRONOBERGS LÄN</t>
        </is>
      </c>
      <c r="G166" t="inlineStr">
        <is>
          <t>UPPVIDINGE</t>
        </is>
      </c>
      <c r="H166" t="inlineStr">
        <is>
          <t>Sveaskog</t>
        </is>
      </c>
      <c r="I166" t="n">
        <v>6.2</v>
      </c>
      <c r="J166" t="n">
        <v>0</v>
      </c>
      <c r="K166" t="n">
        <v>0</v>
      </c>
      <c r="L166" t="n">
        <v>0</v>
      </c>
      <c r="M166" t="n">
        <v>0</v>
      </c>
      <c r="N166" t="n">
        <v>0</v>
      </c>
      <c r="O166" t="n">
        <v>0</v>
      </c>
      <c r="P166" t="n">
        <v>0</v>
      </c>
      <c r="Q166" t="n">
        <v>0</v>
      </c>
      <c r="R166" t="n">
        <v>0</v>
      </c>
      <c r="S166" t="n">
        <v>0</v>
      </c>
      <c r="T166" t="n">
        <v>0</v>
      </c>
      <c r="U166" s="2" t="inlineStr"/>
    </row>
    <row r="167" ht="15" customHeight="1">
      <c r="A167" t="inlineStr">
        <is>
          <t>A 6345-2024</t>
        </is>
      </c>
      <c r="B167" t="inlineStr">
        <is>
          <t>avverkningsanmälan</t>
        </is>
      </c>
      <c r="C167" t="inlineStr">
        <is>
          <t>Föryngringsavverkning</t>
        </is>
      </c>
      <c r="D167" s="1" t="n">
        <v>45338</v>
      </c>
      <c r="E167" s="1" t="n">
        <v>46218</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21867-2022</t>
        </is>
      </c>
      <c r="B168" t="inlineStr">
        <is>
          <t>avverkningsanmälan</t>
        </is>
      </c>
      <c r="C168" t="inlineStr">
        <is>
          <t>Föryngringsavverkning</t>
        </is>
      </c>
      <c r="D168" s="1" t="n">
        <v>44711</v>
      </c>
      <c r="E168" s="1" t="n">
        <v>46218</v>
      </c>
      <c r="F168" t="inlineStr">
        <is>
          <t>KRONOBERGS LÄN</t>
        </is>
      </c>
      <c r="G168" t="inlineStr">
        <is>
          <t>UPPVIDINGE</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55316-2022</t>
        </is>
      </c>
      <c r="B169" t="inlineStr">
        <is>
          <t>avverkningsanmälan</t>
        </is>
      </c>
      <c r="C169" t="inlineStr">
        <is>
          <t>Föryngringsavverkning</t>
        </is>
      </c>
      <c r="D169" s="1" t="n">
        <v>44887</v>
      </c>
      <c r="E169" s="1" t="n">
        <v>46218</v>
      </c>
      <c r="F169" t="inlineStr">
        <is>
          <t>KRONOBERGS LÄN</t>
        </is>
      </c>
      <c r="G169" t="inlineStr">
        <is>
          <t>UPPVIDINGE</t>
        </is>
      </c>
      <c r="I169" t="n">
        <v>5.7</v>
      </c>
      <c r="J169" t="n">
        <v>0</v>
      </c>
      <c r="K169" t="n">
        <v>0</v>
      </c>
      <c r="L169" t="n">
        <v>0</v>
      </c>
      <c r="M169" t="n">
        <v>0</v>
      </c>
      <c r="N169" t="n">
        <v>0</v>
      </c>
      <c r="O169" t="n">
        <v>0</v>
      </c>
      <c r="P169" t="n">
        <v>0</v>
      </c>
      <c r="Q169" t="n">
        <v>0</v>
      </c>
      <c r="R169" t="n">
        <v>0</v>
      </c>
      <c r="S169" t="n">
        <v>0</v>
      </c>
      <c r="T169" t="n">
        <v>0</v>
      </c>
      <c r="U169" s="2" t="inlineStr"/>
    </row>
    <row r="170" ht="15" customHeight="1">
      <c r="A170" t="inlineStr">
        <is>
          <t>A 55320-2022</t>
        </is>
      </c>
      <c r="B170" t="inlineStr">
        <is>
          <t>avverkningsanmälan</t>
        </is>
      </c>
      <c r="C170" t="inlineStr">
        <is>
          <t>Föryngringsavverkning</t>
        </is>
      </c>
      <c r="D170" s="1" t="n">
        <v>44887</v>
      </c>
      <c r="E170" s="1" t="n">
        <v>46218</v>
      </c>
      <c r="F170" t="inlineStr">
        <is>
          <t>KRONOBERGS LÄN</t>
        </is>
      </c>
      <c r="G170" t="inlineStr">
        <is>
          <t>UPPVIDINGE</t>
        </is>
      </c>
      <c r="H170" t="inlineStr">
        <is>
          <t>Sveaskog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59281-2021</t>
        </is>
      </c>
      <c r="B171" t="inlineStr">
        <is>
          <t>avverkningsanmälan</t>
        </is>
      </c>
      <c r="C171" t="inlineStr">
        <is>
          <t>Föryngringsavverkning</t>
        </is>
      </c>
      <c r="D171" s="1" t="n">
        <v>44490</v>
      </c>
      <c r="E171" s="1" t="n">
        <v>46218</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37377-2023</t>
        </is>
      </c>
      <c r="B172" t="inlineStr">
        <is>
          <t>avverkningsanmälan</t>
        </is>
      </c>
      <c r="C172" t="inlineStr">
        <is>
          <t>Föryngringsavverkning</t>
        </is>
      </c>
      <c r="D172" s="1" t="n">
        <v>45156</v>
      </c>
      <c r="E172" s="1" t="n">
        <v>46218</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16970-2022</t>
        </is>
      </c>
      <c r="B173" t="inlineStr">
        <is>
          <t>avverkningsanmälan</t>
        </is>
      </c>
      <c r="C173" t="inlineStr">
        <is>
          <t>Föryngringsavverkning</t>
        </is>
      </c>
      <c r="D173" s="1" t="n">
        <v>44676</v>
      </c>
      <c r="E173" s="1" t="n">
        <v>46218</v>
      </c>
      <c r="F173" t="inlineStr">
        <is>
          <t>KRONOBERGS LÄN</t>
        </is>
      </c>
      <c r="G173" t="inlineStr">
        <is>
          <t>UPPVIDINGE</t>
        </is>
      </c>
      <c r="I173" t="n">
        <v>0.4</v>
      </c>
      <c r="J173" t="n">
        <v>0</v>
      </c>
      <c r="K173" t="n">
        <v>0</v>
      </c>
      <c r="L173" t="n">
        <v>0</v>
      </c>
      <c r="M173" t="n">
        <v>0</v>
      </c>
      <c r="N173" t="n">
        <v>0</v>
      </c>
      <c r="O173" t="n">
        <v>0</v>
      </c>
      <c r="P173" t="n">
        <v>0</v>
      </c>
      <c r="Q173" t="n">
        <v>0</v>
      </c>
      <c r="R173" t="n">
        <v>0</v>
      </c>
      <c r="S173" t="n">
        <v>0</v>
      </c>
      <c r="T173" t="n">
        <v>0</v>
      </c>
      <c r="U173" s="2" t="inlineStr"/>
    </row>
    <row r="174" ht="15" customHeight="1">
      <c r="A174" t="inlineStr">
        <is>
          <t>A 25503-2023</t>
        </is>
      </c>
      <c r="B174" t="inlineStr">
        <is>
          <t>avverkningsanmälan</t>
        </is>
      </c>
      <c r="C174" t="inlineStr">
        <is>
          <t>Föryngringsavverkning</t>
        </is>
      </c>
      <c r="D174" s="1" t="n">
        <v>45089</v>
      </c>
      <c r="E174" s="1" t="n">
        <v>46218</v>
      </c>
      <c r="F174" t="inlineStr">
        <is>
          <t>KRONOBERGS LÄN</t>
        </is>
      </c>
      <c r="G174" t="inlineStr">
        <is>
          <t>UPPVIDINGE</t>
        </is>
      </c>
      <c r="I174" t="n">
        <v>2.1</v>
      </c>
      <c r="J174" t="n">
        <v>0</v>
      </c>
      <c r="K174" t="n">
        <v>0</v>
      </c>
      <c r="L174" t="n">
        <v>0</v>
      </c>
      <c r="M174" t="n">
        <v>0</v>
      </c>
      <c r="N174" t="n">
        <v>0</v>
      </c>
      <c r="O174" t="n">
        <v>0</v>
      </c>
      <c r="P174" t="n">
        <v>0</v>
      </c>
      <c r="Q174" t="n">
        <v>0</v>
      </c>
      <c r="R174" t="n">
        <v>0</v>
      </c>
      <c r="S174" t="n">
        <v>0</v>
      </c>
      <c r="T174" t="n">
        <v>0</v>
      </c>
      <c r="U174" s="2" t="inlineStr"/>
    </row>
    <row r="175" ht="15" customHeight="1">
      <c r="A175" t="inlineStr">
        <is>
          <t>A 2420-2025</t>
        </is>
      </c>
      <c r="B175" t="inlineStr">
        <is>
          <t>avverkningsanmälan</t>
        </is>
      </c>
      <c r="C175" t="inlineStr">
        <is>
          <t>Föryngringsavverkning</t>
        </is>
      </c>
      <c r="D175" s="1" t="n">
        <v>45674</v>
      </c>
      <c r="E175" s="1" t="n">
        <v>46218</v>
      </c>
      <c r="F175" t="inlineStr">
        <is>
          <t>KRONOBERGS LÄN</t>
        </is>
      </c>
      <c r="G175" t="inlineStr">
        <is>
          <t>UPPVIDINGE</t>
        </is>
      </c>
      <c r="H175" t="inlineStr">
        <is>
          <t>Sveaskog</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41314-2021</t>
        </is>
      </c>
      <c r="B176" t="inlineStr">
        <is>
          <t>avverkningsanmälan</t>
        </is>
      </c>
      <c r="C176" t="inlineStr">
        <is>
          <t>Föryngringsavverkning</t>
        </is>
      </c>
      <c r="D176" s="1" t="n">
        <v>44424</v>
      </c>
      <c r="E176" s="1" t="n">
        <v>46218</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26825-2023</t>
        </is>
      </c>
      <c r="B177" t="inlineStr">
        <is>
          <t>avverkningsanmälan</t>
        </is>
      </c>
      <c r="C177" t="inlineStr">
        <is>
          <t>Föryngringsavverkning</t>
        </is>
      </c>
      <c r="D177" s="1" t="n">
        <v>45093</v>
      </c>
      <c r="E177" s="1" t="n">
        <v>46218</v>
      </c>
      <c r="F177" t="inlineStr">
        <is>
          <t>KRONOBERGS LÄN</t>
        </is>
      </c>
      <c r="G177" t="inlineStr">
        <is>
          <t>UPPVIDINGE</t>
        </is>
      </c>
      <c r="I177" t="n">
        <v>2.9</v>
      </c>
      <c r="J177" t="n">
        <v>0</v>
      </c>
      <c r="K177" t="n">
        <v>0</v>
      </c>
      <c r="L177" t="n">
        <v>0</v>
      </c>
      <c r="M177" t="n">
        <v>0</v>
      </c>
      <c r="N177" t="n">
        <v>0</v>
      </c>
      <c r="O177" t="n">
        <v>0</v>
      </c>
      <c r="P177" t="n">
        <v>0</v>
      </c>
      <c r="Q177" t="n">
        <v>0</v>
      </c>
      <c r="R177" t="n">
        <v>0</v>
      </c>
      <c r="S177" t="n">
        <v>0</v>
      </c>
      <c r="T177" t="n">
        <v>0</v>
      </c>
      <c r="U177" s="2" t="inlineStr"/>
    </row>
    <row r="178" ht="15" customHeight="1">
      <c r="A178" t="inlineStr">
        <is>
          <t>A 28445-2023</t>
        </is>
      </c>
      <c r="B178" t="inlineStr">
        <is>
          <t>avverkningsanmälan</t>
        </is>
      </c>
      <c r="C178" t="inlineStr">
        <is>
          <t>Föryngringsavverkning</t>
        </is>
      </c>
      <c r="D178" s="1" t="n">
        <v>45103</v>
      </c>
      <c r="E178" s="1" t="n">
        <v>46218</v>
      </c>
      <c r="F178" t="inlineStr">
        <is>
          <t>KRONOBERGS LÄN</t>
        </is>
      </c>
      <c r="G178" t="inlineStr">
        <is>
          <t>UPPVIDINGE</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66981-2021</t>
        </is>
      </c>
      <c r="B179" t="inlineStr">
        <is>
          <t>avverkningsanmälan</t>
        </is>
      </c>
      <c r="C179" t="inlineStr">
        <is>
          <t>Föryngringsavverkning</t>
        </is>
      </c>
      <c r="D179" s="1" t="n">
        <v>44522</v>
      </c>
      <c r="E179" s="1" t="n">
        <v>46218</v>
      </c>
      <c r="F179" t="inlineStr">
        <is>
          <t>KRONOBERGS LÄN</t>
        </is>
      </c>
      <c r="G179" t="inlineStr">
        <is>
          <t>UPPVIDINGE</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62176-2022</t>
        </is>
      </c>
      <c r="B180" t="inlineStr">
        <is>
          <t>avverkningsanmälan</t>
        </is>
      </c>
      <c r="C180" t="inlineStr">
        <is>
          <t>Föryngringsavverkning</t>
        </is>
      </c>
      <c r="D180" s="1" t="n">
        <v>44922</v>
      </c>
      <c r="E180" s="1" t="n">
        <v>46218</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53296-2023</t>
        </is>
      </c>
      <c r="B181" t="inlineStr">
        <is>
          <t>avverkningsanmälan</t>
        </is>
      </c>
      <c r="C181" t="inlineStr">
        <is>
          <t>Föryngringsavverkning</t>
        </is>
      </c>
      <c r="D181" s="1" t="n">
        <v>45229</v>
      </c>
      <c r="E181" s="1" t="n">
        <v>46218</v>
      </c>
      <c r="F181" t="inlineStr">
        <is>
          <t>KRONOBERGS LÄN</t>
        </is>
      </c>
      <c r="G181" t="inlineStr">
        <is>
          <t>UPPVIDINGE</t>
        </is>
      </c>
      <c r="I181" t="n">
        <v>2.2</v>
      </c>
      <c r="J181" t="n">
        <v>0</v>
      </c>
      <c r="K181" t="n">
        <v>0</v>
      </c>
      <c r="L181" t="n">
        <v>0</v>
      </c>
      <c r="M181" t="n">
        <v>0</v>
      </c>
      <c r="N181" t="n">
        <v>0</v>
      </c>
      <c r="O181" t="n">
        <v>0</v>
      </c>
      <c r="P181" t="n">
        <v>0</v>
      </c>
      <c r="Q181" t="n">
        <v>0</v>
      </c>
      <c r="R181" t="n">
        <v>0</v>
      </c>
      <c r="S181" t="n">
        <v>0</v>
      </c>
      <c r="T181" t="n">
        <v>0</v>
      </c>
      <c r="U181" s="2" t="inlineStr"/>
    </row>
    <row r="182" ht="15" customHeight="1">
      <c r="A182" t="inlineStr">
        <is>
          <t>A 61820-2022</t>
        </is>
      </c>
      <c r="B182" t="inlineStr">
        <is>
          <t>avverkningsanmälan</t>
        </is>
      </c>
      <c r="C182" t="inlineStr">
        <is>
          <t>Föryngringsavverkning</t>
        </is>
      </c>
      <c r="D182" s="1" t="n">
        <v>44917</v>
      </c>
      <c r="E182" s="1" t="n">
        <v>46218</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13579-2024</t>
        </is>
      </c>
      <c r="B183" t="inlineStr">
        <is>
          <t>avverkningsanmälan</t>
        </is>
      </c>
      <c r="C183" t="inlineStr">
        <is>
          <t>Föryngringsavverkning</t>
        </is>
      </c>
      <c r="D183" s="1" t="n">
        <v>45389</v>
      </c>
      <c r="E183" s="1" t="n">
        <v>46218</v>
      </c>
      <c r="F183" t="inlineStr">
        <is>
          <t>KRONOBERGS LÄN</t>
        </is>
      </c>
      <c r="G183" t="inlineStr">
        <is>
          <t>UPPVIDINGE</t>
        </is>
      </c>
      <c r="I183" t="n">
        <v>4.4</v>
      </c>
      <c r="J183" t="n">
        <v>0</v>
      </c>
      <c r="K183" t="n">
        <v>0</v>
      </c>
      <c r="L183" t="n">
        <v>0</v>
      </c>
      <c r="M183" t="n">
        <v>0</v>
      </c>
      <c r="N183" t="n">
        <v>0</v>
      </c>
      <c r="O183" t="n">
        <v>0</v>
      </c>
      <c r="P183" t="n">
        <v>0</v>
      </c>
      <c r="Q183" t="n">
        <v>0</v>
      </c>
      <c r="R183" t="n">
        <v>0</v>
      </c>
      <c r="S183" t="n">
        <v>0</v>
      </c>
      <c r="T183" t="n">
        <v>0</v>
      </c>
      <c r="U183" s="2" t="inlineStr"/>
    </row>
    <row r="184" ht="15" customHeight="1">
      <c r="A184" t="inlineStr">
        <is>
          <t>A 19213-2024</t>
        </is>
      </c>
      <c r="B184" t="inlineStr">
        <is>
          <t>avverkningsanmälan</t>
        </is>
      </c>
      <c r="C184" t="inlineStr">
        <is>
          <t>Föryngringsavverkning</t>
        </is>
      </c>
      <c r="D184" s="1" t="n">
        <v>45428</v>
      </c>
      <c r="E184" s="1" t="n">
        <v>46218</v>
      </c>
      <c r="F184" t="inlineStr">
        <is>
          <t>KRONOBERGS LÄN</t>
        </is>
      </c>
      <c r="G184" t="inlineStr">
        <is>
          <t>UPPVIDINGE</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19214-2024</t>
        </is>
      </c>
      <c r="B185" t="inlineStr">
        <is>
          <t>avverkningsanmälan</t>
        </is>
      </c>
      <c r="C185" t="inlineStr">
        <is>
          <t>Föryngringsavverkning</t>
        </is>
      </c>
      <c r="D185" s="1" t="n">
        <v>45428</v>
      </c>
      <c r="E185" s="1" t="n">
        <v>46218</v>
      </c>
      <c r="F185" t="inlineStr">
        <is>
          <t>KRONOBERGS LÄN</t>
        </is>
      </c>
      <c r="G185" t="inlineStr">
        <is>
          <t>UPPVIDINGE</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54355-2021</t>
        </is>
      </c>
      <c r="B186" t="inlineStr">
        <is>
          <t>avverkningsanmälan</t>
        </is>
      </c>
      <c r="C186" t="inlineStr">
        <is>
          <t>Föryngringsavverkning</t>
        </is>
      </c>
      <c r="D186" s="1" t="n">
        <v>44470</v>
      </c>
      <c r="E186" s="1" t="n">
        <v>46218</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64072-2023</t>
        </is>
      </c>
      <c r="B187" t="inlineStr">
        <is>
          <t>avverkningsanmälan</t>
        </is>
      </c>
      <c r="C187" t="inlineStr">
        <is>
          <t>Föryngringsavverkning</t>
        </is>
      </c>
      <c r="D187" s="1" t="n">
        <v>45279</v>
      </c>
      <c r="E187" s="1" t="n">
        <v>46218</v>
      </c>
      <c r="F187" t="inlineStr">
        <is>
          <t>KRONOBERGS LÄN</t>
        </is>
      </c>
      <c r="G187" t="inlineStr">
        <is>
          <t>UPPVIDINGE</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7893-2024</t>
        </is>
      </c>
      <c r="B188" t="inlineStr">
        <is>
          <t>avverkningsanmälan</t>
        </is>
      </c>
      <c r="C188" t="inlineStr">
        <is>
          <t>Föryngringsavverkning</t>
        </is>
      </c>
      <c r="D188" s="1" t="n">
        <v>45349</v>
      </c>
      <c r="E188" s="1" t="n">
        <v>46218</v>
      </c>
      <c r="F188" t="inlineStr">
        <is>
          <t>KRONOBERGS LÄN</t>
        </is>
      </c>
      <c r="G188" t="inlineStr">
        <is>
          <t>UPPVIDINGE</t>
        </is>
      </c>
      <c r="I188" t="n">
        <v>3.5</v>
      </c>
      <c r="J188" t="n">
        <v>0</v>
      </c>
      <c r="K188" t="n">
        <v>0</v>
      </c>
      <c r="L188" t="n">
        <v>0</v>
      </c>
      <c r="M188" t="n">
        <v>0</v>
      </c>
      <c r="N188" t="n">
        <v>0</v>
      </c>
      <c r="O188" t="n">
        <v>0</v>
      </c>
      <c r="P188" t="n">
        <v>0</v>
      </c>
      <c r="Q188" t="n">
        <v>0</v>
      </c>
      <c r="R188" t="n">
        <v>0</v>
      </c>
      <c r="S188" t="n">
        <v>0</v>
      </c>
      <c r="T188" t="n">
        <v>0</v>
      </c>
      <c r="U188" s="2" t="inlineStr"/>
    </row>
    <row r="189" ht="15" customHeight="1">
      <c r="A189" t="inlineStr">
        <is>
          <t>A 19252-2024</t>
        </is>
      </c>
      <c r="B189" t="inlineStr">
        <is>
          <t>avverkningsanmälan</t>
        </is>
      </c>
      <c r="C189" t="inlineStr">
        <is>
          <t>Föryngringsavverkning</t>
        </is>
      </c>
      <c r="D189" s="1" t="n">
        <v>45428</v>
      </c>
      <c r="E189" s="1" t="n">
        <v>46218</v>
      </c>
      <c r="F189" t="inlineStr">
        <is>
          <t>KRONOBERGS LÄN</t>
        </is>
      </c>
      <c r="G189" t="inlineStr">
        <is>
          <t>UPPVIDINGE</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27789-2023</t>
        </is>
      </c>
      <c r="B190" t="inlineStr">
        <is>
          <t>avverkningsanmälan</t>
        </is>
      </c>
      <c r="C190" t="inlineStr">
        <is>
          <t>Föryngringsavverkning</t>
        </is>
      </c>
      <c r="D190" s="1" t="n">
        <v>45098</v>
      </c>
      <c r="E190" s="1" t="n">
        <v>46218</v>
      </c>
      <c r="F190" t="inlineStr">
        <is>
          <t>KRONOBERGS LÄN</t>
        </is>
      </c>
      <c r="G190" t="inlineStr">
        <is>
          <t>UPPVIDINGE</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19622-2025</t>
        </is>
      </c>
      <c r="B191" t="inlineStr">
        <is>
          <t>avverkningsanmälan</t>
        </is>
      </c>
      <c r="C191" t="inlineStr">
        <is>
          <t>Avverkning för annat ändamål</t>
        </is>
      </c>
      <c r="D191" s="1" t="n">
        <v>45770</v>
      </c>
      <c r="E191" s="1" t="n">
        <v>46218</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9687-2025</t>
        </is>
      </c>
      <c r="B192" t="inlineStr">
        <is>
          <t>avverkningsanmälan</t>
        </is>
      </c>
      <c r="C192" t="inlineStr">
        <is>
          <t>Föryngringsavverkning</t>
        </is>
      </c>
      <c r="D192" s="1" t="n">
        <v>45716</v>
      </c>
      <c r="E192" s="1" t="n">
        <v>46218</v>
      </c>
      <c r="F192" t="inlineStr">
        <is>
          <t>KRONOBERGS LÄN</t>
        </is>
      </c>
      <c r="G192" t="inlineStr">
        <is>
          <t>UPPVIDINGE</t>
        </is>
      </c>
      <c r="H192" t="inlineStr">
        <is>
          <t>Sveaskog</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67618-2021</t>
        </is>
      </c>
      <c r="B193" t="inlineStr">
        <is>
          <t>avverkningsanmälan</t>
        </is>
      </c>
      <c r="C193" t="inlineStr">
        <is>
          <t>Föryngringsavverkning</t>
        </is>
      </c>
      <c r="D193" s="1" t="n">
        <v>44524</v>
      </c>
      <c r="E193" s="1" t="n">
        <v>46218</v>
      </c>
      <c r="F193" t="inlineStr">
        <is>
          <t>KRONOBERGS LÄN</t>
        </is>
      </c>
      <c r="G193" t="inlineStr">
        <is>
          <t>UPPVIDINGE</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6323-2024</t>
        </is>
      </c>
      <c r="B194" t="inlineStr">
        <is>
          <t>avverkningsanmälan</t>
        </is>
      </c>
      <c r="C194" t="inlineStr">
        <is>
          <t>Föryngringsavverkning</t>
        </is>
      </c>
      <c r="D194" s="1" t="n">
        <v>45338</v>
      </c>
      <c r="E194" s="1" t="n">
        <v>46218</v>
      </c>
      <c r="F194" t="inlineStr">
        <is>
          <t>KRONOBERGS LÄN</t>
        </is>
      </c>
      <c r="G194" t="inlineStr">
        <is>
          <t>UPPVIDINGE</t>
        </is>
      </c>
      <c r="H194" t="inlineStr">
        <is>
          <t>Sveaskog</t>
        </is>
      </c>
      <c r="I194" t="n">
        <v>4.5</v>
      </c>
      <c r="J194" t="n">
        <v>0</v>
      </c>
      <c r="K194" t="n">
        <v>0</v>
      </c>
      <c r="L194" t="n">
        <v>0</v>
      </c>
      <c r="M194" t="n">
        <v>0</v>
      </c>
      <c r="N194" t="n">
        <v>0</v>
      </c>
      <c r="O194" t="n">
        <v>0</v>
      </c>
      <c r="P194" t="n">
        <v>0</v>
      </c>
      <c r="Q194" t="n">
        <v>0</v>
      </c>
      <c r="R194" t="n">
        <v>0</v>
      </c>
      <c r="S194" t="n">
        <v>0</v>
      </c>
      <c r="T194" t="n">
        <v>0</v>
      </c>
      <c r="U194" s="2" t="inlineStr"/>
    </row>
    <row r="195" ht="15" customHeight="1">
      <c r="A195" t="inlineStr">
        <is>
          <t>A 73660-2021</t>
        </is>
      </c>
      <c r="B195" t="inlineStr">
        <is>
          <t>avverkningsanmälan</t>
        </is>
      </c>
      <c r="C195" t="inlineStr">
        <is>
          <t>Föryngringsavverkning</t>
        </is>
      </c>
      <c r="D195" s="1" t="n">
        <v>44552</v>
      </c>
      <c r="E195" s="1" t="n">
        <v>46218</v>
      </c>
      <c r="F195" t="inlineStr">
        <is>
          <t>KRONOBERGS LÄN</t>
        </is>
      </c>
      <c r="G195" t="inlineStr">
        <is>
          <t>UPPVIDINGE</t>
        </is>
      </c>
      <c r="I195" t="n">
        <v>2.8</v>
      </c>
      <c r="J195" t="n">
        <v>0</v>
      </c>
      <c r="K195" t="n">
        <v>0</v>
      </c>
      <c r="L195" t="n">
        <v>0</v>
      </c>
      <c r="M195" t="n">
        <v>0</v>
      </c>
      <c r="N195" t="n">
        <v>0</v>
      </c>
      <c r="O195" t="n">
        <v>0</v>
      </c>
      <c r="P195" t="n">
        <v>0</v>
      </c>
      <c r="Q195" t="n">
        <v>0</v>
      </c>
      <c r="R195" t="n">
        <v>0</v>
      </c>
      <c r="S195" t="n">
        <v>0</v>
      </c>
      <c r="T195" t="n">
        <v>0</v>
      </c>
      <c r="U195" s="2" t="inlineStr"/>
    </row>
    <row r="196" ht="15" customHeight="1">
      <c r="A196" t="inlineStr">
        <is>
          <t>A 13580-2024</t>
        </is>
      </c>
      <c r="B196" t="inlineStr">
        <is>
          <t>avverkningsanmälan</t>
        </is>
      </c>
      <c r="C196" t="inlineStr">
        <is>
          <t>Föryngringsavverkning</t>
        </is>
      </c>
      <c r="D196" s="1" t="n">
        <v>45389</v>
      </c>
      <c r="E196" s="1" t="n">
        <v>46218</v>
      </c>
      <c r="F196" t="inlineStr">
        <is>
          <t>KRONOBERGS LÄN</t>
        </is>
      </c>
      <c r="G196" t="inlineStr">
        <is>
          <t>UPPVIDINGE</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30105-2022</t>
        </is>
      </c>
      <c r="B197" t="inlineStr">
        <is>
          <t>avverkningsanmälan</t>
        </is>
      </c>
      <c r="C197" t="inlineStr">
        <is>
          <t>Föryngringsavverkning</t>
        </is>
      </c>
      <c r="D197" s="1" t="n">
        <v>44757</v>
      </c>
      <c r="E197" s="1" t="n">
        <v>46218</v>
      </c>
      <c r="F197" t="inlineStr">
        <is>
          <t>KRONOBERGS LÄN</t>
        </is>
      </c>
      <c r="G197" t="inlineStr">
        <is>
          <t>UPPVIDINGE</t>
        </is>
      </c>
      <c r="H197" t="inlineStr">
        <is>
          <t>Sveaskog</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45387-2022</t>
        </is>
      </c>
      <c r="B198" t="inlineStr">
        <is>
          <t>avverkningsanmälan</t>
        </is>
      </c>
      <c r="C198" t="inlineStr">
        <is>
          <t>Föryngringsavverkning</t>
        </is>
      </c>
      <c r="D198" s="1" t="n">
        <v>44844</v>
      </c>
      <c r="E198" s="1" t="n">
        <v>46218</v>
      </c>
      <c r="F198" t="inlineStr">
        <is>
          <t>KRONOBERGS LÄN</t>
        </is>
      </c>
      <c r="G198" t="inlineStr">
        <is>
          <t>UPPVIDINGE</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43580-2023</t>
        </is>
      </c>
      <c r="B199" t="inlineStr">
        <is>
          <t>avverkningsanmälan</t>
        </is>
      </c>
      <c r="C199" t="inlineStr">
        <is>
          <t>Föryngringsavverkning</t>
        </is>
      </c>
      <c r="D199" s="1" t="n">
        <v>45181</v>
      </c>
      <c r="E199" s="1" t="n">
        <v>46218</v>
      </c>
      <c r="F199" t="inlineStr">
        <is>
          <t>KRONOBERGS LÄN</t>
        </is>
      </c>
      <c r="G199" t="inlineStr">
        <is>
          <t>UPPVIDINGE</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47176-2021</t>
        </is>
      </c>
      <c r="B200" t="inlineStr">
        <is>
          <t>avverkningsanmälan</t>
        </is>
      </c>
      <c r="C200" t="inlineStr">
        <is>
          <t>Föryngringsavverkning</t>
        </is>
      </c>
      <c r="D200" s="1" t="n">
        <v>44446</v>
      </c>
      <c r="E200" s="1" t="n">
        <v>46218</v>
      </c>
      <c r="F200" t="inlineStr">
        <is>
          <t>KRONOBERGS LÄN</t>
        </is>
      </c>
      <c r="G200" t="inlineStr">
        <is>
          <t>UPPVIDINGE</t>
        </is>
      </c>
      <c r="I200" t="n">
        <v>5.4</v>
      </c>
      <c r="J200" t="n">
        <v>0</v>
      </c>
      <c r="K200" t="n">
        <v>0</v>
      </c>
      <c r="L200" t="n">
        <v>0</v>
      </c>
      <c r="M200" t="n">
        <v>0</v>
      </c>
      <c r="N200" t="n">
        <v>0</v>
      </c>
      <c r="O200" t="n">
        <v>0</v>
      </c>
      <c r="P200" t="n">
        <v>0</v>
      </c>
      <c r="Q200" t="n">
        <v>0</v>
      </c>
      <c r="R200" t="n">
        <v>0</v>
      </c>
      <c r="S200" t="n">
        <v>0</v>
      </c>
      <c r="T200" t="n">
        <v>0</v>
      </c>
      <c r="U200" s="2" t="inlineStr"/>
    </row>
    <row r="201" ht="15" customHeight="1">
      <c r="A201" t="inlineStr">
        <is>
          <t>A 8354-2022</t>
        </is>
      </c>
      <c r="B201" t="inlineStr">
        <is>
          <t>avverkningsanmälan</t>
        </is>
      </c>
      <c r="C201" t="inlineStr">
        <is>
          <t>Föryngringsavverkning</t>
        </is>
      </c>
      <c r="D201" s="1" t="n">
        <v>44610</v>
      </c>
      <c r="E201" s="1" t="n">
        <v>46218</v>
      </c>
      <c r="F201" t="inlineStr">
        <is>
          <t>KRONOBERGS LÄN</t>
        </is>
      </c>
      <c r="G201" t="inlineStr">
        <is>
          <t>UPPVIDINGE</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53241-2023</t>
        </is>
      </c>
      <c r="B202" t="inlineStr">
        <is>
          <t>avverkningsanmälan</t>
        </is>
      </c>
      <c r="C202" t="inlineStr">
        <is>
          <t>Föryngringsavverkning</t>
        </is>
      </c>
      <c r="D202" s="1" t="n">
        <v>45229</v>
      </c>
      <c r="E202" s="1" t="n">
        <v>46218</v>
      </c>
      <c r="F202" t="inlineStr">
        <is>
          <t>KRONOBERGS LÄN</t>
        </is>
      </c>
      <c r="G202" t="inlineStr">
        <is>
          <t>UPPVIDINGE</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4727-2025</t>
        </is>
      </c>
      <c r="B203" t="inlineStr">
        <is>
          <t>avverkningsanmälan</t>
        </is>
      </c>
      <c r="C203" t="inlineStr">
        <is>
          <t>Föryngringsavverkning</t>
        </is>
      </c>
      <c r="D203" s="1" t="n">
        <v>45688</v>
      </c>
      <c r="E203" s="1" t="n">
        <v>46218</v>
      </c>
      <c r="F203" t="inlineStr">
        <is>
          <t>KRONOBERGS LÄN</t>
        </is>
      </c>
      <c r="G203" t="inlineStr">
        <is>
          <t>UPPVIDINGE</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48237-2024</t>
        </is>
      </c>
      <c r="B204" t="inlineStr">
        <is>
          <t>avverkningsanmälan</t>
        </is>
      </c>
      <c r="C204" t="inlineStr">
        <is>
          <t>Föryngringsavverkning</t>
        </is>
      </c>
      <c r="D204" s="1" t="n">
        <v>45590</v>
      </c>
      <c r="E204" s="1" t="n">
        <v>46218</v>
      </c>
      <c r="F204" t="inlineStr">
        <is>
          <t>KRONOBERGS LÄN</t>
        </is>
      </c>
      <c r="G204" t="inlineStr">
        <is>
          <t>UPPVIDINGE</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30589-2023</t>
        </is>
      </c>
      <c r="B205" t="inlineStr">
        <is>
          <t>avverkningsanmälan</t>
        </is>
      </c>
      <c r="C205" t="inlineStr">
        <is>
          <t>Föryngringsavverkning</t>
        </is>
      </c>
      <c r="D205" s="1" t="n">
        <v>45112</v>
      </c>
      <c r="E205" s="1" t="n">
        <v>46218</v>
      </c>
      <c r="F205" t="inlineStr">
        <is>
          <t>KRONOBERGS LÄN</t>
        </is>
      </c>
      <c r="G205" t="inlineStr">
        <is>
          <t>UPPVIDINGE</t>
        </is>
      </c>
      <c r="I205" t="n">
        <v>2.3</v>
      </c>
      <c r="J205" t="n">
        <v>0</v>
      </c>
      <c r="K205" t="n">
        <v>0</v>
      </c>
      <c r="L205" t="n">
        <v>0</v>
      </c>
      <c r="M205" t="n">
        <v>0</v>
      </c>
      <c r="N205" t="n">
        <v>0</v>
      </c>
      <c r="O205" t="n">
        <v>0</v>
      </c>
      <c r="P205" t="n">
        <v>0</v>
      </c>
      <c r="Q205" t="n">
        <v>0</v>
      </c>
      <c r="R205" t="n">
        <v>0</v>
      </c>
      <c r="S205" t="n">
        <v>0</v>
      </c>
      <c r="T205" t="n">
        <v>0</v>
      </c>
      <c r="U205" s="2" t="inlineStr"/>
    </row>
    <row r="206" ht="15" customHeight="1">
      <c r="A206" t="inlineStr">
        <is>
          <t>A 4230-2025</t>
        </is>
      </c>
      <c r="B206" t="inlineStr">
        <is>
          <t>avverkningsanmälan</t>
        </is>
      </c>
      <c r="C206" t="inlineStr">
        <is>
          <t>Föryngringsavverkning</t>
        </is>
      </c>
      <c r="D206" s="1" t="n">
        <v>45685</v>
      </c>
      <c r="E206" s="1" t="n">
        <v>46218</v>
      </c>
      <c r="F206" t="inlineStr">
        <is>
          <t>KRONOBERGS LÄN</t>
        </is>
      </c>
      <c r="G206" t="inlineStr">
        <is>
          <t>UPPVIDINGE</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48676-2023</t>
        </is>
      </c>
      <c r="B207" t="inlineStr">
        <is>
          <t>avverkningsanmälan</t>
        </is>
      </c>
      <c r="C207" t="inlineStr">
        <is>
          <t>Föryngringsavverkning</t>
        </is>
      </c>
      <c r="D207" s="1" t="n">
        <v>45208</v>
      </c>
      <c r="E207" s="1" t="n">
        <v>46218</v>
      </c>
      <c r="F207" t="inlineStr">
        <is>
          <t>KRONOBERGS LÄN</t>
        </is>
      </c>
      <c r="G207" t="inlineStr">
        <is>
          <t>UPPVIDINGE</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9676-2023</t>
        </is>
      </c>
      <c r="B208" t="inlineStr">
        <is>
          <t>avverkningsanmälan</t>
        </is>
      </c>
      <c r="C208" t="inlineStr">
        <is>
          <t>Föryngringsavverkning</t>
        </is>
      </c>
      <c r="D208" s="1" t="n">
        <v>44984</v>
      </c>
      <c r="E208" s="1" t="n">
        <v>46218</v>
      </c>
      <c r="F208" t="inlineStr">
        <is>
          <t>KRONOBERGS LÄN</t>
        </is>
      </c>
      <c r="G208" t="inlineStr">
        <is>
          <t>UPPVIDINGE</t>
        </is>
      </c>
      <c r="I208" t="n">
        <v>4.8</v>
      </c>
      <c r="J208" t="n">
        <v>0</v>
      </c>
      <c r="K208" t="n">
        <v>0</v>
      </c>
      <c r="L208" t="n">
        <v>0</v>
      </c>
      <c r="M208" t="n">
        <v>0</v>
      </c>
      <c r="N208" t="n">
        <v>0</v>
      </c>
      <c r="O208" t="n">
        <v>0</v>
      </c>
      <c r="P208" t="n">
        <v>0</v>
      </c>
      <c r="Q208" t="n">
        <v>0</v>
      </c>
      <c r="R208" t="n">
        <v>0</v>
      </c>
      <c r="S208" t="n">
        <v>0</v>
      </c>
      <c r="T208" t="n">
        <v>0</v>
      </c>
      <c r="U208" s="2" t="inlineStr"/>
    </row>
    <row r="209" ht="15" customHeight="1">
      <c r="A209" t="inlineStr">
        <is>
          <t>A 12427-2022</t>
        </is>
      </c>
      <c r="B209" t="inlineStr">
        <is>
          <t>avverkningsanmälan</t>
        </is>
      </c>
      <c r="C209" t="inlineStr">
        <is>
          <t>Föryngringsavverkning</t>
        </is>
      </c>
      <c r="D209" s="1" t="n">
        <v>44638</v>
      </c>
      <c r="E209" s="1" t="n">
        <v>46218</v>
      </c>
      <c r="F209" t="inlineStr">
        <is>
          <t>KRONOBERGS LÄN</t>
        </is>
      </c>
      <c r="G209" t="inlineStr">
        <is>
          <t>UPPVIDINGE</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45081-2021</t>
        </is>
      </c>
      <c r="B210" t="inlineStr">
        <is>
          <t>avverkningsanmälan</t>
        </is>
      </c>
      <c r="C210" t="inlineStr">
        <is>
          <t>Föryngringsavverkning</t>
        </is>
      </c>
      <c r="D210" s="1" t="n">
        <v>44438</v>
      </c>
      <c r="E210" s="1" t="n">
        <v>46218</v>
      </c>
      <c r="F210" t="inlineStr">
        <is>
          <t>KRONOBERGS LÄN</t>
        </is>
      </c>
      <c r="G210" t="inlineStr">
        <is>
          <t>UPPVIDINGE</t>
        </is>
      </c>
      <c r="I210" t="n">
        <v>2.8</v>
      </c>
      <c r="J210" t="n">
        <v>0</v>
      </c>
      <c r="K210" t="n">
        <v>0</v>
      </c>
      <c r="L210" t="n">
        <v>0</v>
      </c>
      <c r="M210" t="n">
        <v>0</v>
      </c>
      <c r="N210" t="n">
        <v>0</v>
      </c>
      <c r="O210" t="n">
        <v>0</v>
      </c>
      <c r="P210" t="n">
        <v>0</v>
      </c>
      <c r="Q210" t="n">
        <v>0</v>
      </c>
      <c r="R210" t="n">
        <v>0</v>
      </c>
      <c r="S210" t="n">
        <v>0</v>
      </c>
      <c r="T210" t="n">
        <v>0</v>
      </c>
      <c r="U210" s="2" t="inlineStr"/>
    </row>
    <row r="211" ht="15" customHeight="1">
      <c r="A211" t="inlineStr">
        <is>
          <t>A 50115-2022</t>
        </is>
      </c>
      <c r="B211" t="inlineStr">
        <is>
          <t>avverkningsanmälan</t>
        </is>
      </c>
      <c r="C211" t="inlineStr">
        <is>
          <t>Föryngringsavverkning</t>
        </is>
      </c>
      <c r="D211" s="1" t="n">
        <v>44865</v>
      </c>
      <c r="E211" s="1" t="n">
        <v>46218</v>
      </c>
      <c r="F211" t="inlineStr">
        <is>
          <t>KRONOBERGS LÄN</t>
        </is>
      </c>
      <c r="G211" t="inlineStr">
        <is>
          <t>UPPVIDINGE</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38797-2025</t>
        </is>
      </c>
      <c r="B212" t="inlineStr">
        <is>
          <t>avverkningsanmälan</t>
        </is>
      </c>
      <c r="C212" t="inlineStr">
        <is>
          <t>Föryngringsavverkning</t>
        </is>
      </c>
      <c r="D212" s="1" t="n">
        <v>45887</v>
      </c>
      <c r="E212" s="1" t="n">
        <v>46218</v>
      </c>
      <c r="F212" t="inlineStr">
        <is>
          <t>KRONOBERGS LÄN</t>
        </is>
      </c>
      <c r="G212" t="inlineStr">
        <is>
          <t>UPPVIDINGE</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51047-2023</t>
        </is>
      </c>
      <c r="B213" t="inlineStr">
        <is>
          <t>avverkningsanmälan</t>
        </is>
      </c>
      <c r="C213" t="inlineStr">
        <is>
          <t>Föryngringsavverkning</t>
        </is>
      </c>
      <c r="D213" s="1" t="n">
        <v>45218</v>
      </c>
      <c r="E213" s="1" t="n">
        <v>46218</v>
      </c>
      <c r="F213" t="inlineStr">
        <is>
          <t>KRONOBERGS LÄN</t>
        </is>
      </c>
      <c r="G213" t="inlineStr">
        <is>
          <t>UPPVIDINGE</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61491-2021</t>
        </is>
      </c>
      <c r="B214" t="inlineStr">
        <is>
          <t>avverkningsanmälan</t>
        </is>
      </c>
      <c r="C214" t="inlineStr">
        <is>
          <t>Föryngringsavverkning</t>
        </is>
      </c>
      <c r="D214" s="1" t="n">
        <v>44497</v>
      </c>
      <c r="E214" s="1" t="n">
        <v>46218</v>
      </c>
      <c r="F214" t="inlineStr">
        <is>
          <t>KRONOBERGS LÄN</t>
        </is>
      </c>
      <c r="G214" t="inlineStr">
        <is>
          <t>UPPVIDINGE</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16348-2023</t>
        </is>
      </c>
      <c r="B215" t="inlineStr">
        <is>
          <t>avverkningsanmälan</t>
        </is>
      </c>
      <c r="C215" t="inlineStr">
        <is>
          <t>Föryngringsavverkning</t>
        </is>
      </c>
      <c r="D215" s="1" t="n">
        <v>45028</v>
      </c>
      <c r="E215" s="1" t="n">
        <v>46218</v>
      </c>
      <c r="F215" t="inlineStr">
        <is>
          <t>KRONOBERGS LÄN</t>
        </is>
      </c>
      <c r="G215" t="inlineStr">
        <is>
          <t>UPPVIDINGE</t>
        </is>
      </c>
      <c r="H215" t="inlineStr">
        <is>
          <t>Sveaskog</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12950-2024</t>
        </is>
      </c>
      <c r="B216" t="inlineStr">
        <is>
          <t>avverkningsanmälan</t>
        </is>
      </c>
      <c r="C216" t="inlineStr">
        <is>
          <t>Föryngringsavverkning</t>
        </is>
      </c>
      <c r="D216" s="1" t="n">
        <v>45385</v>
      </c>
      <c r="E216" s="1" t="n">
        <v>46218</v>
      </c>
      <c r="F216" t="inlineStr">
        <is>
          <t>KRONOBERGS LÄN</t>
        </is>
      </c>
      <c r="G216" t="inlineStr">
        <is>
          <t>UPPVIDINGE</t>
        </is>
      </c>
      <c r="H216" t="inlineStr">
        <is>
          <t>Sveaskog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7104-2022</t>
        </is>
      </c>
      <c r="B217" t="inlineStr">
        <is>
          <t>avverkningsanmälan</t>
        </is>
      </c>
      <c r="C217" t="inlineStr">
        <is>
          <t>Föryngringsavverkning</t>
        </is>
      </c>
      <c r="D217" s="1" t="n">
        <v>44603</v>
      </c>
      <c r="E217" s="1" t="n">
        <v>46218</v>
      </c>
      <c r="F217" t="inlineStr">
        <is>
          <t>KRONOBERGS LÄN</t>
        </is>
      </c>
      <c r="G217" t="inlineStr">
        <is>
          <t>UPPVIDINGE</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29160-2023</t>
        </is>
      </c>
      <c r="B218" t="inlineStr">
        <is>
          <t>avverkningsanmälan</t>
        </is>
      </c>
      <c r="C218" t="inlineStr">
        <is>
          <t>Föryngringsavverkning</t>
        </is>
      </c>
      <c r="D218" s="1" t="n">
        <v>45105</v>
      </c>
      <c r="E218" s="1" t="n">
        <v>46218</v>
      </c>
      <c r="F218" t="inlineStr">
        <is>
          <t>KRONOBERGS LÄN</t>
        </is>
      </c>
      <c r="G218" t="inlineStr">
        <is>
          <t>UPPVIDINGE</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13147-2024</t>
        </is>
      </c>
      <c r="B219" t="inlineStr">
        <is>
          <t>avverkningsanmälan</t>
        </is>
      </c>
      <c r="C219" t="inlineStr">
        <is>
          <t>Föryngringsavverkning</t>
        </is>
      </c>
      <c r="D219" s="1" t="n">
        <v>45386</v>
      </c>
      <c r="E219" s="1" t="n">
        <v>46218</v>
      </c>
      <c r="F219" t="inlineStr">
        <is>
          <t>KRONOBERGS LÄN</t>
        </is>
      </c>
      <c r="G219" t="inlineStr">
        <is>
          <t>UPPVIDINGE</t>
        </is>
      </c>
      <c r="H219" t="inlineStr">
        <is>
          <t>Sveaskog</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58704-2022</t>
        </is>
      </c>
      <c r="B220" t="inlineStr">
        <is>
          <t>avverkningsanmälan</t>
        </is>
      </c>
      <c r="C220" t="inlineStr">
        <is>
          <t>Föryngringsavverkning</t>
        </is>
      </c>
      <c r="D220" s="1" t="n">
        <v>44902</v>
      </c>
      <c r="E220" s="1" t="n">
        <v>46218</v>
      </c>
      <c r="F220" t="inlineStr">
        <is>
          <t>KRONOBERGS LÄN</t>
        </is>
      </c>
      <c r="G220" t="inlineStr">
        <is>
          <t>UPPVIDINGE</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4797-2025</t>
        </is>
      </c>
      <c r="B221" t="inlineStr">
        <is>
          <t>avverkningsanmälan</t>
        </is>
      </c>
      <c r="C221" t="inlineStr">
        <is>
          <t>Föryngringsavverkning</t>
        </is>
      </c>
      <c r="D221" s="1" t="n">
        <v>45688</v>
      </c>
      <c r="E221" s="1" t="n">
        <v>46218</v>
      </c>
      <c r="F221" t="inlineStr">
        <is>
          <t>KRONOBERGS LÄN</t>
        </is>
      </c>
      <c r="G221" t="inlineStr">
        <is>
          <t>UPPVIDINGE</t>
        </is>
      </c>
      <c r="H221" t="inlineStr">
        <is>
          <t>Sveaskog</t>
        </is>
      </c>
      <c r="I221" t="n">
        <v>20.5</v>
      </c>
      <c r="J221" t="n">
        <v>0</v>
      </c>
      <c r="K221" t="n">
        <v>0</v>
      </c>
      <c r="L221" t="n">
        <v>0</v>
      </c>
      <c r="M221" t="n">
        <v>0</v>
      </c>
      <c r="N221" t="n">
        <v>0</v>
      </c>
      <c r="O221" t="n">
        <v>0</v>
      </c>
      <c r="P221" t="n">
        <v>0</v>
      </c>
      <c r="Q221" t="n">
        <v>0</v>
      </c>
      <c r="R221" t="n">
        <v>0</v>
      </c>
      <c r="S221" t="n">
        <v>0</v>
      </c>
      <c r="T221" t="n">
        <v>0</v>
      </c>
      <c r="U221" s="2" t="inlineStr"/>
    </row>
    <row r="222" ht="15" customHeight="1">
      <c r="A222" t="inlineStr">
        <is>
          <t>A 33591-2022</t>
        </is>
      </c>
      <c r="B222" t="inlineStr">
        <is>
          <t>avverkningsanmälan</t>
        </is>
      </c>
      <c r="C222" t="inlineStr">
        <is>
          <t>Föryngringsavverkning</t>
        </is>
      </c>
      <c r="D222" s="1" t="n">
        <v>44789</v>
      </c>
      <c r="E222" s="1" t="n">
        <v>46218</v>
      </c>
      <c r="F222" t="inlineStr">
        <is>
          <t>KRONOBERGS LÄN</t>
        </is>
      </c>
      <c r="G222" t="inlineStr">
        <is>
          <t>UPPVIDINGE</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62514-2021</t>
        </is>
      </c>
      <c r="B223" t="inlineStr">
        <is>
          <t>avverkningsanmälan</t>
        </is>
      </c>
      <c r="C223" t="inlineStr">
        <is>
          <t>Föryngringsavverkning</t>
        </is>
      </c>
      <c r="D223" s="1" t="n">
        <v>44503</v>
      </c>
      <c r="E223" s="1" t="n">
        <v>46218</v>
      </c>
      <c r="F223" t="inlineStr">
        <is>
          <t>KRONOBERGS LÄN</t>
        </is>
      </c>
      <c r="G223" t="inlineStr">
        <is>
          <t>UPPVIDINGE</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37823-2024</t>
        </is>
      </c>
      <c r="B224" t="inlineStr">
        <is>
          <t>avverkningsanmälan</t>
        </is>
      </c>
      <c r="C224" t="inlineStr">
        <is>
          <t>Föryngringsavverkning</t>
        </is>
      </c>
      <c r="D224" s="1" t="n">
        <v>45544</v>
      </c>
      <c r="E224" s="1" t="n">
        <v>46218</v>
      </c>
      <c r="F224" t="inlineStr">
        <is>
          <t>KRONOBERGS LÄN</t>
        </is>
      </c>
      <c r="G224" t="inlineStr">
        <is>
          <t>UPPVIDINGE</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37040-2023</t>
        </is>
      </c>
      <c r="B225" t="inlineStr">
        <is>
          <t>avverkningsanmälan</t>
        </is>
      </c>
      <c r="C225" t="inlineStr">
        <is>
          <t>Föryngringsavverkning</t>
        </is>
      </c>
      <c r="D225" s="1" t="n">
        <v>45155</v>
      </c>
      <c r="E225" s="1" t="n">
        <v>46218</v>
      </c>
      <c r="F225" t="inlineStr">
        <is>
          <t>KRONOBERGS LÄN</t>
        </is>
      </c>
      <c r="G225" t="inlineStr">
        <is>
          <t>UPPVIDINGE</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59278-2024</t>
        </is>
      </c>
      <c r="B226" t="inlineStr">
        <is>
          <t>avverkningsanmälan</t>
        </is>
      </c>
      <c r="C226" t="inlineStr">
        <is>
          <t>Föryngringsavverkning</t>
        </is>
      </c>
      <c r="D226" s="1" t="n">
        <v>45637</v>
      </c>
      <c r="E226" s="1" t="n">
        <v>46218</v>
      </c>
      <c r="F226" t="inlineStr">
        <is>
          <t>KRONOBERGS LÄN</t>
        </is>
      </c>
      <c r="G226" t="inlineStr">
        <is>
          <t>UPPVIDINGE</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16201-2023</t>
        </is>
      </c>
      <c r="B227" t="inlineStr">
        <is>
          <t>avverkningsanmälan</t>
        </is>
      </c>
      <c r="C227" t="inlineStr">
        <is>
          <t>Föryngringsavverkning</t>
        </is>
      </c>
      <c r="D227" s="1" t="n">
        <v>45028</v>
      </c>
      <c r="E227" s="1" t="n">
        <v>46218</v>
      </c>
      <c r="F227" t="inlineStr">
        <is>
          <t>KRONOBERGS LÄN</t>
        </is>
      </c>
      <c r="G227" t="inlineStr">
        <is>
          <t>UPPVIDINGE</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6106-2025</t>
        </is>
      </c>
      <c r="B228" t="inlineStr">
        <is>
          <t>avverkningsanmälan</t>
        </is>
      </c>
      <c r="C228" t="inlineStr">
        <is>
          <t>Föryngringsavverkning</t>
        </is>
      </c>
      <c r="D228" s="1" t="n">
        <v>45697</v>
      </c>
      <c r="E228" s="1" t="n">
        <v>46218</v>
      </c>
      <c r="F228" t="inlineStr">
        <is>
          <t>KRONOBERGS LÄN</t>
        </is>
      </c>
      <c r="G228" t="inlineStr">
        <is>
          <t>UPPVIDINGE</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16263-2025</t>
        </is>
      </c>
      <c r="B229" t="inlineStr">
        <is>
          <t>avverkningsanmälan</t>
        </is>
      </c>
      <c r="C229" t="inlineStr">
        <is>
          <t>Föryngringsavverkning</t>
        </is>
      </c>
      <c r="D229" s="1" t="n">
        <v>45749</v>
      </c>
      <c r="E229" s="1" t="n">
        <v>46218</v>
      </c>
      <c r="F229" t="inlineStr">
        <is>
          <t>KRONOBERGS LÄN</t>
        </is>
      </c>
      <c r="G229" t="inlineStr">
        <is>
          <t>UPPVIDINGE</t>
        </is>
      </c>
      <c r="H229" t="inlineStr">
        <is>
          <t>Kyrkan</t>
        </is>
      </c>
      <c r="I229" t="n">
        <v>3.2</v>
      </c>
      <c r="J229" t="n">
        <v>0</v>
      </c>
      <c r="K229" t="n">
        <v>0</v>
      </c>
      <c r="L229" t="n">
        <v>0</v>
      </c>
      <c r="M229" t="n">
        <v>0</v>
      </c>
      <c r="N229" t="n">
        <v>0</v>
      </c>
      <c r="O229" t="n">
        <v>0</v>
      </c>
      <c r="P229" t="n">
        <v>0</v>
      </c>
      <c r="Q229" t="n">
        <v>0</v>
      </c>
      <c r="R229" t="n">
        <v>0</v>
      </c>
      <c r="S229" t="n">
        <v>0</v>
      </c>
      <c r="T229" t="n">
        <v>0</v>
      </c>
      <c r="U229" s="2" t="inlineStr"/>
    </row>
    <row r="230" ht="15" customHeight="1">
      <c r="A230" t="inlineStr">
        <is>
          <t>A 39738-2024</t>
        </is>
      </c>
      <c r="B230" t="inlineStr">
        <is>
          <t>avverkningsanmälan</t>
        </is>
      </c>
      <c r="C230" t="inlineStr">
        <is>
          <t>Föryngringsavverkning</t>
        </is>
      </c>
      <c r="D230" s="1" t="n">
        <v>45552</v>
      </c>
      <c r="E230" s="1" t="n">
        <v>46218</v>
      </c>
      <c r="F230" t="inlineStr">
        <is>
          <t>KRONOBERGS LÄN</t>
        </is>
      </c>
      <c r="G230" t="inlineStr">
        <is>
          <t>UPPVIDINGE</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11650-2023</t>
        </is>
      </c>
      <c r="B231" t="inlineStr">
        <is>
          <t>avverkningsanmälan</t>
        </is>
      </c>
      <c r="C231" t="inlineStr">
        <is>
          <t>Föryngringsavverkning</t>
        </is>
      </c>
      <c r="D231" s="1" t="n">
        <v>44994</v>
      </c>
      <c r="E231" s="1" t="n">
        <v>46218</v>
      </c>
      <c r="F231" t="inlineStr">
        <is>
          <t>KRONOBERGS LÄN</t>
        </is>
      </c>
      <c r="G231" t="inlineStr">
        <is>
          <t>UPPVIDINGE</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14952-2024</t>
        </is>
      </c>
      <c r="B232" t="inlineStr">
        <is>
          <t>avverkningsanmälan</t>
        </is>
      </c>
      <c r="C232" t="inlineStr">
        <is>
          <t>Föryngringsavverkning</t>
        </is>
      </c>
      <c r="D232" s="1" t="n">
        <v>45398</v>
      </c>
      <c r="E232" s="1" t="n">
        <v>46218</v>
      </c>
      <c r="F232" t="inlineStr">
        <is>
          <t>KRONOBERGS LÄN</t>
        </is>
      </c>
      <c r="G232" t="inlineStr">
        <is>
          <t>UPPVIDINGE</t>
        </is>
      </c>
      <c r="I232" t="n">
        <v>3.1</v>
      </c>
      <c r="J232" t="n">
        <v>0</v>
      </c>
      <c r="K232" t="n">
        <v>0</v>
      </c>
      <c r="L232" t="n">
        <v>0</v>
      </c>
      <c r="M232" t="n">
        <v>0</v>
      </c>
      <c r="N232" t="n">
        <v>0</v>
      </c>
      <c r="O232" t="n">
        <v>0</v>
      </c>
      <c r="P232" t="n">
        <v>0</v>
      </c>
      <c r="Q232" t="n">
        <v>0</v>
      </c>
      <c r="R232" t="n">
        <v>0</v>
      </c>
      <c r="S232" t="n">
        <v>0</v>
      </c>
      <c r="T232" t="n">
        <v>0</v>
      </c>
      <c r="U232" s="2" t="inlineStr"/>
    </row>
    <row r="233" ht="15" customHeight="1">
      <c r="A233" t="inlineStr">
        <is>
          <t>A 40152-2025</t>
        </is>
      </c>
      <c r="B233" t="inlineStr">
        <is>
          <t>avverkningsanmälan</t>
        </is>
      </c>
      <c r="C233" t="inlineStr">
        <is>
          <t>Föryngringsavverkning</t>
        </is>
      </c>
      <c r="D233" s="1" t="n">
        <v>45894</v>
      </c>
      <c r="E233" s="1" t="n">
        <v>46218</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8449-2024</t>
        </is>
      </c>
      <c r="B234" t="inlineStr">
        <is>
          <t>avverkningsanmälan</t>
        </is>
      </c>
      <c r="C234" t="inlineStr">
        <is>
          <t>Föryngringsavverkning</t>
        </is>
      </c>
      <c r="D234" s="1" t="n">
        <v>45354</v>
      </c>
      <c r="E234" s="1" t="n">
        <v>46218</v>
      </c>
      <c r="F234" t="inlineStr">
        <is>
          <t>KRONOBERGS LÄN</t>
        </is>
      </c>
      <c r="G234" t="inlineStr">
        <is>
          <t>UPPVIDINGE</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56363-2023</t>
        </is>
      </c>
      <c r="B235" t="inlineStr">
        <is>
          <t>avverkningsanmälan</t>
        </is>
      </c>
      <c r="C235" t="inlineStr">
        <is>
          <t>Föryngringsavverkning</t>
        </is>
      </c>
      <c r="D235" s="1" t="n">
        <v>45243</v>
      </c>
      <c r="E235" s="1" t="n">
        <v>46218</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54290-2023</t>
        </is>
      </c>
      <c r="B236" t="inlineStr">
        <is>
          <t>avverkningsanmälan</t>
        </is>
      </c>
      <c r="C236" t="inlineStr">
        <is>
          <t>Föryngringsavverkning</t>
        </is>
      </c>
      <c r="D236" s="1" t="n">
        <v>45232</v>
      </c>
      <c r="E236" s="1" t="n">
        <v>46218</v>
      </c>
      <c r="F236" t="inlineStr">
        <is>
          <t>KRONOBERGS LÄN</t>
        </is>
      </c>
      <c r="G236" t="inlineStr">
        <is>
          <t>UPPVIDINGE</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45388-2022</t>
        </is>
      </c>
      <c r="B237" t="inlineStr">
        <is>
          <t>avverkningsanmälan</t>
        </is>
      </c>
      <c r="C237" t="inlineStr">
        <is>
          <t>Föryngringsavverkning</t>
        </is>
      </c>
      <c r="D237" s="1" t="n">
        <v>44844</v>
      </c>
      <c r="E237" s="1" t="n">
        <v>46218</v>
      </c>
      <c r="F237" t="inlineStr">
        <is>
          <t>KRONOBERGS LÄN</t>
        </is>
      </c>
      <c r="G237" t="inlineStr">
        <is>
          <t>UPPVIDINGE</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12688-2024</t>
        </is>
      </c>
      <c r="B238" t="inlineStr">
        <is>
          <t>avverkningsanmälan</t>
        </is>
      </c>
      <c r="C238" t="inlineStr">
        <is>
          <t>Föryngringsavverkning</t>
        </is>
      </c>
      <c r="D238" s="1" t="n">
        <v>45384</v>
      </c>
      <c r="E238" s="1" t="n">
        <v>46218</v>
      </c>
      <c r="F238" t="inlineStr">
        <is>
          <t>KRONOBERGS LÄN</t>
        </is>
      </c>
      <c r="G238" t="inlineStr">
        <is>
          <t>UPPVIDINGE</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38334-2021</t>
        </is>
      </c>
      <c r="B239" t="inlineStr">
        <is>
          <t>avverkningsanmälan</t>
        </is>
      </c>
      <c r="C239" t="inlineStr">
        <is>
          <t>Föryngringsavverkning</t>
        </is>
      </c>
      <c r="D239" s="1" t="n">
        <v>44406</v>
      </c>
      <c r="E239" s="1" t="n">
        <v>46218</v>
      </c>
      <c r="F239" t="inlineStr">
        <is>
          <t>KRONOBERGS LÄN</t>
        </is>
      </c>
      <c r="G239" t="inlineStr">
        <is>
          <t>UPPVIDINGE</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13582-2024</t>
        </is>
      </c>
      <c r="B240" t="inlineStr">
        <is>
          <t>avverkningsanmälan</t>
        </is>
      </c>
      <c r="C240" t="inlineStr">
        <is>
          <t>Föryngringsavverkning</t>
        </is>
      </c>
      <c r="D240" s="1" t="n">
        <v>45389</v>
      </c>
      <c r="E240" s="1" t="n">
        <v>46218</v>
      </c>
      <c r="F240" t="inlineStr">
        <is>
          <t>KRONOBERGS LÄN</t>
        </is>
      </c>
      <c r="G240" t="inlineStr">
        <is>
          <t>UPPVIDINGE</t>
        </is>
      </c>
      <c r="I240" t="n">
        <v>7.5</v>
      </c>
      <c r="J240" t="n">
        <v>0</v>
      </c>
      <c r="K240" t="n">
        <v>0</v>
      </c>
      <c r="L240" t="n">
        <v>0</v>
      </c>
      <c r="M240" t="n">
        <v>0</v>
      </c>
      <c r="N240" t="n">
        <v>0</v>
      </c>
      <c r="O240" t="n">
        <v>0</v>
      </c>
      <c r="P240" t="n">
        <v>0</v>
      </c>
      <c r="Q240" t="n">
        <v>0</v>
      </c>
      <c r="R240" t="n">
        <v>0</v>
      </c>
      <c r="S240" t="n">
        <v>0</v>
      </c>
      <c r="T240" t="n">
        <v>0</v>
      </c>
      <c r="U240" s="2" t="inlineStr"/>
    </row>
    <row r="241" ht="15" customHeight="1">
      <c r="A241" t="inlineStr">
        <is>
          <t>A 61134-2022</t>
        </is>
      </c>
      <c r="B241" t="inlineStr">
        <is>
          <t>avverkningsanmälan</t>
        </is>
      </c>
      <c r="C241" t="inlineStr">
        <is>
          <t>Föryngringsavverkning</t>
        </is>
      </c>
      <c r="D241" s="1" t="n">
        <v>44908</v>
      </c>
      <c r="E241" s="1" t="n">
        <v>46218</v>
      </c>
      <c r="F241" t="inlineStr">
        <is>
          <t>KRONOBERGS LÄN</t>
        </is>
      </c>
      <c r="G241" t="inlineStr">
        <is>
          <t>UPPVIDINGE</t>
        </is>
      </c>
      <c r="H241" t="inlineStr">
        <is>
          <t>Kyrkan</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24491-2024</t>
        </is>
      </c>
      <c r="B242" t="inlineStr">
        <is>
          <t>avverkningsanmälan</t>
        </is>
      </c>
      <c r="C242" t="inlineStr">
        <is>
          <t>Föryngringsavverkning</t>
        </is>
      </c>
      <c r="D242" s="1" t="n">
        <v>45459</v>
      </c>
      <c r="E242" s="1" t="n">
        <v>46218</v>
      </c>
      <c r="F242" t="inlineStr">
        <is>
          <t>KRONOBERGS LÄN</t>
        </is>
      </c>
      <c r="G242" t="inlineStr">
        <is>
          <t>UPPVIDINGE</t>
        </is>
      </c>
      <c r="I242" t="n">
        <v>4.5</v>
      </c>
      <c r="J242" t="n">
        <v>0</v>
      </c>
      <c r="K242" t="n">
        <v>0</v>
      </c>
      <c r="L242" t="n">
        <v>0</v>
      </c>
      <c r="M242" t="n">
        <v>0</v>
      </c>
      <c r="N242" t="n">
        <v>0</v>
      </c>
      <c r="O242" t="n">
        <v>0</v>
      </c>
      <c r="P242" t="n">
        <v>0</v>
      </c>
      <c r="Q242" t="n">
        <v>0</v>
      </c>
      <c r="R242" t="n">
        <v>0</v>
      </c>
      <c r="S242" t="n">
        <v>0</v>
      </c>
      <c r="T242" t="n">
        <v>0</v>
      </c>
      <c r="U242" s="2" t="inlineStr"/>
    </row>
    <row r="243" ht="15" customHeight="1">
      <c r="A243" t="inlineStr">
        <is>
          <t>A 41392-2025</t>
        </is>
      </c>
      <c r="B243" t="inlineStr">
        <is>
          <t>avverkningsanmälan</t>
        </is>
      </c>
      <c r="C243" t="inlineStr">
        <is>
          <t>Föryngringsavverkning</t>
        </is>
      </c>
      <c r="D243" s="1" t="n">
        <v>45901</v>
      </c>
      <c r="E243" s="1" t="n">
        <v>46218</v>
      </c>
      <c r="F243" t="inlineStr">
        <is>
          <t>KRONOBERGS LÄN</t>
        </is>
      </c>
      <c r="G243" t="inlineStr">
        <is>
          <t>UPPVIDINGE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41393-2025</t>
        </is>
      </c>
      <c r="B244" t="inlineStr">
        <is>
          <t>avverkningsanmälan</t>
        </is>
      </c>
      <c r="C244" t="inlineStr">
        <is>
          <t>Föryngringsavverkning</t>
        </is>
      </c>
      <c r="D244" s="1" t="n">
        <v>45901</v>
      </c>
      <c r="E244" s="1" t="n">
        <v>46218</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19237-2024</t>
        </is>
      </c>
      <c r="B245" t="inlineStr">
        <is>
          <t>avverkningsanmälan</t>
        </is>
      </c>
      <c r="C245" t="inlineStr">
        <is>
          <t>Föryngringsavverkning</t>
        </is>
      </c>
      <c r="D245" s="1" t="n">
        <v>45428</v>
      </c>
      <c r="E245" s="1" t="n">
        <v>46218</v>
      </c>
      <c r="F245" t="inlineStr">
        <is>
          <t>KRONOBERGS LÄN</t>
        </is>
      </c>
      <c r="G245" t="inlineStr">
        <is>
          <t>UPPVIDINGE</t>
        </is>
      </c>
      <c r="I245" t="n">
        <v>4.2</v>
      </c>
      <c r="J245" t="n">
        <v>0</v>
      </c>
      <c r="K245" t="n">
        <v>0</v>
      </c>
      <c r="L245" t="n">
        <v>0</v>
      </c>
      <c r="M245" t="n">
        <v>0</v>
      </c>
      <c r="N245" t="n">
        <v>0</v>
      </c>
      <c r="O245" t="n">
        <v>0</v>
      </c>
      <c r="P245" t="n">
        <v>0</v>
      </c>
      <c r="Q245" t="n">
        <v>0</v>
      </c>
      <c r="R245" t="n">
        <v>0</v>
      </c>
      <c r="S245" t="n">
        <v>0</v>
      </c>
      <c r="T245" t="n">
        <v>0</v>
      </c>
      <c r="U245" s="2" t="inlineStr"/>
    </row>
    <row r="246" ht="15" customHeight="1">
      <c r="A246" t="inlineStr">
        <is>
          <t>A 33252-2025</t>
        </is>
      </c>
      <c r="B246" t="inlineStr">
        <is>
          <t>avverkningsanmälan</t>
        </is>
      </c>
      <c r="C246" t="inlineStr">
        <is>
          <t>Föryngringsavverkning</t>
        </is>
      </c>
      <c r="D246" s="1" t="n">
        <v>45840</v>
      </c>
      <c r="E246" s="1" t="n">
        <v>46218</v>
      </c>
      <c r="F246" t="inlineStr">
        <is>
          <t>KRONOBERGS LÄN</t>
        </is>
      </c>
      <c r="G246" t="inlineStr">
        <is>
          <t>UPPVIDINGE</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6325-2024</t>
        </is>
      </c>
      <c r="B247" t="inlineStr">
        <is>
          <t>avverkningsanmälan</t>
        </is>
      </c>
      <c r="C247" t="inlineStr">
        <is>
          <t>Föryngringsavverkning</t>
        </is>
      </c>
      <c r="D247" s="1" t="n">
        <v>45338</v>
      </c>
      <c r="E247" s="1" t="n">
        <v>46218</v>
      </c>
      <c r="F247" t="inlineStr">
        <is>
          <t>KRONOBERGS LÄN</t>
        </is>
      </c>
      <c r="G247" t="inlineStr">
        <is>
          <t>UPPVIDINGE</t>
        </is>
      </c>
      <c r="H247" t="inlineStr">
        <is>
          <t>Sveaskog</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6329-2024</t>
        </is>
      </c>
      <c r="B248" t="inlineStr">
        <is>
          <t>avverkningsanmälan</t>
        </is>
      </c>
      <c r="C248" t="inlineStr">
        <is>
          <t>Föryngringsavverkning</t>
        </is>
      </c>
      <c r="D248" s="1" t="n">
        <v>45338</v>
      </c>
      <c r="E248" s="1" t="n">
        <v>46218</v>
      </c>
      <c r="F248" t="inlineStr">
        <is>
          <t>KRONOBERGS LÄN</t>
        </is>
      </c>
      <c r="G248" t="inlineStr">
        <is>
          <t>UPPVIDINGE</t>
        </is>
      </c>
      <c r="H248" t="inlineStr">
        <is>
          <t>Sveaskog</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43094-2024</t>
        </is>
      </c>
      <c r="B249" t="inlineStr">
        <is>
          <t>avverkningsanmälan</t>
        </is>
      </c>
      <c r="C249" t="inlineStr">
        <is>
          <t>Föryngringsavverkning</t>
        </is>
      </c>
      <c r="D249" s="1" t="n">
        <v>45567</v>
      </c>
      <c r="E249" s="1" t="n">
        <v>46218</v>
      </c>
      <c r="F249" t="inlineStr">
        <is>
          <t>KRONOBERGS LÄN</t>
        </is>
      </c>
      <c r="G249" t="inlineStr">
        <is>
          <t>UPPVIDINGE</t>
        </is>
      </c>
      <c r="I249" t="n">
        <v>5.3</v>
      </c>
      <c r="J249" t="n">
        <v>0</v>
      </c>
      <c r="K249" t="n">
        <v>0</v>
      </c>
      <c r="L249" t="n">
        <v>0</v>
      </c>
      <c r="M249" t="n">
        <v>0</v>
      </c>
      <c r="N249" t="n">
        <v>0</v>
      </c>
      <c r="O249" t="n">
        <v>0</v>
      </c>
      <c r="P249" t="n">
        <v>0</v>
      </c>
      <c r="Q249" t="n">
        <v>0</v>
      </c>
      <c r="R249" t="n">
        <v>0</v>
      </c>
      <c r="S249" t="n">
        <v>0</v>
      </c>
      <c r="T249" t="n">
        <v>0</v>
      </c>
      <c r="U249" s="2" t="inlineStr"/>
    </row>
    <row r="250" ht="15" customHeight="1">
      <c r="A250" t="inlineStr">
        <is>
          <t>A 11422-2024</t>
        </is>
      </c>
      <c r="B250" t="inlineStr">
        <is>
          <t>avverkningsanmälan</t>
        </is>
      </c>
      <c r="C250" t="inlineStr">
        <is>
          <t>Föryngringsavverkning</t>
        </is>
      </c>
      <c r="D250" s="1" t="n">
        <v>45372</v>
      </c>
      <c r="E250" s="1" t="n">
        <v>46218</v>
      </c>
      <c r="F250" t="inlineStr">
        <is>
          <t>KRONOBERGS LÄN</t>
        </is>
      </c>
      <c r="G250" t="inlineStr">
        <is>
          <t>UPPVIDINGE</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46076-2023</t>
        </is>
      </c>
      <c r="B251" t="inlineStr">
        <is>
          <t>avverkningsanmälan</t>
        </is>
      </c>
      <c r="C251" t="inlineStr">
        <is>
          <t>Föryngringsavverkning</t>
        </is>
      </c>
      <c r="D251" s="1" t="n">
        <v>45196</v>
      </c>
      <c r="E251" s="1" t="n">
        <v>46218</v>
      </c>
      <c r="F251" t="inlineStr">
        <is>
          <t>KRONOBERGS LÄN</t>
        </is>
      </c>
      <c r="G251" t="inlineStr">
        <is>
          <t>UPPVIDINGE</t>
        </is>
      </c>
      <c r="I251" t="n">
        <v>5</v>
      </c>
      <c r="J251" t="n">
        <v>0</v>
      </c>
      <c r="K251" t="n">
        <v>0</v>
      </c>
      <c r="L251" t="n">
        <v>0</v>
      </c>
      <c r="M251" t="n">
        <v>0</v>
      </c>
      <c r="N251" t="n">
        <v>0</v>
      </c>
      <c r="O251" t="n">
        <v>0</v>
      </c>
      <c r="P251" t="n">
        <v>0</v>
      </c>
      <c r="Q251" t="n">
        <v>0</v>
      </c>
      <c r="R251" t="n">
        <v>0</v>
      </c>
      <c r="S251" t="n">
        <v>0</v>
      </c>
      <c r="T251" t="n">
        <v>0</v>
      </c>
      <c r="U251" s="2" t="inlineStr"/>
    </row>
    <row r="252" ht="15" customHeight="1">
      <c r="A252" t="inlineStr">
        <is>
          <t>A 31766-2023</t>
        </is>
      </c>
      <c r="B252" t="inlineStr">
        <is>
          <t>avverkningsanmälan</t>
        </is>
      </c>
      <c r="C252" t="inlineStr">
        <is>
          <t>Föryngringsavverkning</t>
        </is>
      </c>
      <c r="D252" s="1" t="n">
        <v>45118</v>
      </c>
      <c r="E252" s="1" t="n">
        <v>46218</v>
      </c>
      <c r="F252" t="inlineStr">
        <is>
          <t>KRONOBERGS LÄN</t>
        </is>
      </c>
      <c r="G252" t="inlineStr">
        <is>
          <t>UPPVIDINGE</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19223-2024</t>
        </is>
      </c>
      <c r="B253" t="inlineStr">
        <is>
          <t>avverkningsanmälan</t>
        </is>
      </c>
      <c r="C253" t="inlineStr">
        <is>
          <t>Föryngringsavverkning</t>
        </is>
      </c>
      <c r="D253" s="1" t="n">
        <v>45428</v>
      </c>
      <c r="E253" s="1" t="n">
        <v>46218</v>
      </c>
      <c r="F253" t="inlineStr">
        <is>
          <t>KRONOBERGS LÄN</t>
        </is>
      </c>
      <c r="G253" t="inlineStr">
        <is>
          <t>UPPVIDINGE</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6338-2024</t>
        </is>
      </c>
      <c r="B254" t="inlineStr">
        <is>
          <t>avverkningsanmälan</t>
        </is>
      </c>
      <c r="C254" t="inlineStr">
        <is>
          <t>Föryngringsavverkning</t>
        </is>
      </c>
      <c r="D254" s="1" t="n">
        <v>45338</v>
      </c>
      <c r="E254" s="1" t="n">
        <v>46218</v>
      </c>
      <c r="F254" t="inlineStr">
        <is>
          <t>KRONOBERGS LÄN</t>
        </is>
      </c>
      <c r="G254" t="inlineStr">
        <is>
          <t>UPPVIDINGE</t>
        </is>
      </c>
      <c r="H254" t="inlineStr">
        <is>
          <t>Sveaskog</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48240-2024</t>
        </is>
      </c>
      <c r="B255" t="inlineStr">
        <is>
          <t>avverkningsanmälan</t>
        </is>
      </c>
      <c r="C255" t="inlineStr">
        <is>
          <t>Föryngringsavverkning</t>
        </is>
      </c>
      <c r="D255" s="1" t="n">
        <v>45590</v>
      </c>
      <c r="E255" s="1" t="n">
        <v>46218</v>
      </c>
      <c r="F255" t="inlineStr">
        <is>
          <t>KRONOBERGS LÄN</t>
        </is>
      </c>
      <c r="G255" t="inlineStr">
        <is>
          <t>UPPVIDINGE</t>
        </is>
      </c>
      <c r="I255" t="n">
        <v>0.3</v>
      </c>
      <c r="J255" t="n">
        <v>0</v>
      </c>
      <c r="K255" t="n">
        <v>0</v>
      </c>
      <c r="L255" t="n">
        <v>0</v>
      </c>
      <c r="M255" t="n">
        <v>0</v>
      </c>
      <c r="N255" t="n">
        <v>0</v>
      </c>
      <c r="O255" t="n">
        <v>0</v>
      </c>
      <c r="P255" t="n">
        <v>0</v>
      </c>
      <c r="Q255" t="n">
        <v>0</v>
      </c>
      <c r="R255" t="n">
        <v>0</v>
      </c>
      <c r="S255" t="n">
        <v>0</v>
      </c>
      <c r="T255" t="n">
        <v>0</v>
      </c>
      <c r="U255" s="2" t="inlineStr"/>
    </row>
    <row r="256" ht="15" customHeight="1">
      <c r="A256" t="inlineStr">
        <is>
          <t>A 581-2025</t>
        </is>
      </c>
      <c r="B256" t="inlineStr">
        <is>
          <t>avverkningsanmälan</t>
        </is>
      </c>
      <c r="C256" t="inlineStr">
        <is>
          <t>Föryngringsavverkning</t>
        </is>
      </c>
      <c r="D256" s="1" t="n">
        <v>45664</v>
      </c>
      <c r="E256" s="1" t="n">
        <v>46218</v>
      </c>
      <c r="F256" t="inlineStr">
        <is>
          <t>KRONOBERGS LÄN</t>
        </is>
      </c>
      <c r="G256" t="inlineStr">
        <is>
          <t>UPPVIDINGE</t>
        </is>
      </c>
      <c r="I256" t="n">
        <v>6.7</v>
      </c>
      <c r="J256" t="n">
        <v>0</v>
      </c>
      <c r="K256" t="n">
        <v>0</v>
      </c>
      <c r="L256" t="n">
        <v>0</v>
      </c>
      <c r="M256" t="n">
        <v>0</v>
      </c>
      <c r="N256" t="n">
        <v>0</v>
      </c>
      <c r="O256" t="n">
        <v>0</v>
      </c>
      <c r="P256" t="n">
        <v>0</v>
      </c>
      <c r="Q256" t="n">
        <v>0</v>
      </c>
      <c r="R256" t="n">
        <v>0</v>
      </c>
      <c r="S256" t="n">
        <v>0</v>
      </c>
      <c r="T256" t="n">
        <v>0</v>
      </c>
      <c r="U256" s="2" t="inlineStr"/>
    </row>
    <row r="257" ht="15" customHeight="1">
      <c r="A257" t="inlineStr">
        <is>
          <t>A 42940-2022</t>
        </is>
      </c>
      <c r="B257" t="inlineStr">
        <is>
          <t>avverkningsanmälan</t>
        </is>
      </c>
      <c r="C257" t="inlineStr">
        <is>
          <t>Föryngringsavverkning</t>
        </is>
      </c>
      <c r="D257" s="1" t="n">
        <v>44833</v>
      </c>
      <c r="E257" s="1" t="n">
        <v>46218</v>
      </c>
      <c r="F257" t="inlineStr">
        <is>
          <t>KRONOBERGS LÄN</t>
        </is>
      </c>
      <c r="G257" t="inlineStr">
        <is>
          <t>UPPVIDINGE</t>
        </is>
      </c>
      <c r="H257" t="inlineStr">
        <is>
          <t>Sveaskog</t>
        </is>
      </c>
      <c r="I257" t="n">
        <v>3.7</v>
      </c>
      <c r="J257" t="n">
        <v>0</v>
      </c>
      <c r="K257" t="n">
        <v>0</v>
      </c>
      <c r="L257" t="n">
        <v>0</v>
      </c>
      <c r="M257" t="n">
        <v>0</v>
      </c>
      <c r="N257" t="n">
        <v>0</v>
      </c>
      <c r="O257" t="n">
        <v>0</v>
      </c>
      <c r="P257" t="n">
        <v>0</v>
      </c>
      <c r="Q257" t="n">
        <v>0</v>
      </c>
      <c r="R257" t="n">
        <v>0</v>
      </c>
      <c r="S257" t="n">
        <v>0</v>
      </c>
      <c r="T257" t="n">
        <v>0</v>
      </c>
      <c r="U257" s="2" t="inlineStr"/>
    </row>
    <row r="258" ht="15" customHeight="1">
      <c r="A258" t="inlineStr">
        <is>
          <t>A 49812-2024</t>
        </is>
      </c>
      <c r="B258" t="inlineStr">
        <is>
          <t>avverkningsanmälan</t>
        </is>
      </c>
      <c r="C258" t="inlineStr">
        <is>
          <t>Föryngringsavverkning</t>
        </is>
      </c>
      <c r="D258" s="1" t="n">
        <v>45597</v>
      </c>
      <c r="E258" s="1" t="n">
        <v>46218</v>
      </c>
      <c r="F258" t="inlineStr">
        <is>
          <t>KRONOBERGS LÄN</t>
        </is>
      </c>
      <c r="G258" t="inlineStr">
        <is>
          <t>UPPVIDINGE</t>
        </is>
      </c>
      <c r="H258" t="inlineStr">
        <is>
          <t>Sveaskog</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19209-2024</t>
        </is>
      </c>
      <c r="B259" t="inlineStr">
        <is>
          <t>avverkningsanmälan</t>
        </is>
      </c>
      <c r="C259" t="inlineStr">
        <is>
          <t>Föryngringsavverkning</t>
        </is>
      </c>
      <c r="D259" s="1" t="n">
        <v>45428</v>
      </c>
      <c r="E259" s="1" t="n">
        <v>46218</v>
      </c>
      <c r="F259" t="inlineStr">
        <is>
          <t>KRONOBERGS LÄN</t>
        </is>
      </c>
      <c r="G259" t="inlineStr">
        <is>
          <t>UPPVIDINGE</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19211-2024</t>
        </is>
      </c>
      <c r="B260" t="inlineStr">
        <is>
          <t>avverkningsanmälan</t>
        </is>
      </c>
      <c r="C260" t="inlineStr">
        <is>
          <t>Föryngringsavverkning</t>
        </is>
      </c>
      <c r="D260" s="1" t="n">
        <v>45428</v>
      </c>
      <c r="E260" s="1" t="n">
        <v>46218</v>
      </c>
      <c r="F260" t="inlineStr">
        <is>
          <t>KRONOBERGS LÄN</t>
        </is>
      </c>
      <c r="G260" t="inlineStr">
        <is>
          <t>UPPVIDINGE</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57032-2023</t>
        </is>
      </c>
      <c r="B261" t="inlineStr">
        <is>
          <t>avverkningsanmälan</t>
        </is>
      </c>
      <c r="C261" t="inlineStr">
        <is>
          <t>Föryngringsavverkning</t>
        </is>
      </c>
      <c r="D261" s="1" t="n">
        <v>45244</v>
      </c>
      <c r="E261" s="1" t="n">
        <v>46218</v>
      </c>
      <c r="F261" t="inlineStr">
        <is>
          <t>KRONOBERGS LÄN</t>
        </is>
      </c>
      <c r="G261" t="inlineStr">
        <is>
          <t>UPPVIDINGE</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21868-2022</t>
        </is>
      </c>
      <c r="B262" t="inlineStr">
        <is>
          <t>avverkningsanmälan</t>
        </is>
      </c>
      <c r="C262" t="inlineStr">
        <is>
          <t>Föryngringsavverkning</t>
        </is>
      </c>
      <c r="D262" s="1" t="n">
        <v>44711</v>
      </c>
      <c r="E262" s="1" t="n">
        <v>46218</v>
      </c>
      <c r="F262" t="inlineStr">
        <is>
          <t>KRONOBERGS LÄN</t>
        </is>
      </c>
      <c r="G262" t="inlineStr">
        <is>
          <t>UPPVIDINGE</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16259-2025</t>
        </is>
      </c>
      <c r="B263" t="inlineStr">
        <is>
          <t>avverkningsanmälan</t>
        </is>
      </c>
      <c r="C263" t="inlineStr">
        <is>
          <t>Föryngringsavverkning</t>
        </is>
      </c>
      <c r="D263" s="1" t="n">
        <v>45749</v>
      </c>
      <c r="E263" s="1" t="n">
        <v>46218</v>
      </c>
      <c r="F263" t="inlineStr">
        <is>
          <t>KRONOBERGS LÄN</t>
        </is>
      </c>
      <c r="G263" t="inlineStr">
        <is>
          <t>UPPVIDINGE</t>
        </is>
      </c>
      <c r="H263" t="inlineStr">
        <is>
          <t>Kyrkan</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32437-2025</t>
        </is>
      </c>
      <c r="B264" t="inlineStr">
        <is>
          <t>avverkningsanmälan</t>
        </is>
      </c>
      <c r="C264" t="inlineStr">
        <is>
          <t>Föryngringsavverkning</t>
        </is>
      </c>
      <c r="D264" s="1" t="n">
        <v>45838</v>
      </c>
      <c r="E264" s="1" t="n">
        <v>46218</v>
      </c>
      <c r="F264" t="inlineStr">
        <is>
          <t>KRONOBERGS LÄN</t>
        </is>
      </c>
      <c r="G264" t="inlineStr">
        <is>
          <t>UPPVIDINGE</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43233-2025</t>
        </is>
      </c>
      <c r="B265" t="inlineStr">
        <is>
          <t>avverkningsanmälan</t>
        </is>
      </c>
      <c r="C265" t="inlineStr">
        <is>
          <t>Föryngringsavverkning</t>
        </is>
      </c>
      <c r="D265" s="1" t="n">
        <v>45910</v>
      </c>
      <c r="E265" s="1" t="n">
        <v>46218</v>
      </c>
      <c r="F265" t="inlineStr">
        <is>
          <t>KRONOBERGS LÄN</t>
        </is>
      </c>
      <c r="G265" t="inlineStr">
        <is>
          <t>UPPVIDINGE</t>
        </is>
      </c>
      <c r="I265" t="n">
        <v>3.5</v>
      </c>
      <c r="J265" t="n">
        <v>0</v>
      </c>
      <c r="K265" t="n">
        <v>0</v>
      </c>
      <c r="L265" t="n">
        <v>0</v>
      </c>
      <c r="M265" t="n">
        <v>0</v>
      </c>
      <c r="N265" t="n">
        <v>0</v>
      </c>
      <c r="O265" t="n">
        <v>0</v>
      </c>
      <c r="P265" t="n">
        <v>0</v>
      </c>
      <c r="Q265" t="n">
        <v>0</v>
      </c>
      <c r="R265" t="n">
        <v>0</v>
      </c>
      <c r="S265" t="n">
        <v>0</v>
      </c>
      <c r="T265" t="n">
        <v>0</v>
      </c>
      <c r="U265" s="2" t="inlineStr"/>
    </row>
    <row r="266" ht="15" customHeight="1">
      <c r="A266" t="inlineStr">
        <is>
          <t>A 6330-2024</t>
        </is>
      </c>
      <c r="B266" t="inlineStr">
        <is>
          <t>avverkningsanmälan</t>
        </is>
      </c>
      <c r="C266" t="inlineStr">
        <is>
          <t>Föryngringsavverkning</t>
        </is>
      </c>
      <c r="D266" s="1" t="n">
        <v>45338</v>
      </c>
      <c r="E266" s="1" t="n">
        <v>46218</v>
      </c>
      <c r="F266" t="inlineStr">
        <is>
          <t>KRONOBERGS LÄN</t>
        </is>
      </c>
      <c r="G266" t="inlineStr">
        <is>
          <t>UPPVIDINGE</t>
        </is>
      </c>
      <c r="H266" t="inlineStr">
        <is>
          <t>Sveaskog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21366-2023</t>
        </is>
      </c>
      <c r="B267" t="inlineStr">
        <is>
          <t>avverkningsanmälan</t>
        </is>
      </c>
      <c r="C267" t="inlineStr">
        <is>
          <t>Föryngringsavverkning</t>
        </is>
      </c>
      <c r="D267" s="1" t="n">
        <v>45063</v>
      </c>
      <c r="E267" s="1" t="n">
        <v>46218</v>
      </c>
      <c r="F267" t="inlineStr">
        <is>
          <t>KRONOBERGS LÄN</t>
        </is>
      </c>
      <c r="G267" t="inlineStr">
        <is>
          <t>UPPVIDINGE</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57365-2023</t>
        </is>
      </c>
      <c r="B268" t="inlineStr">
        <is>
          <t>avverkningsanmälan</t>
        </is>
      </c>
      <c r="C268" t="inlineStr">
        <is>
          <t>Föryngringsavverkning</t>
        </is>
      </c>
      <c r="D268" s="1" t="n">
        <v>45245</v>
      </c>
      <c r="E268" s="1" t="n">
        <v>46218</v>
      </c>
      <c r="F268" t="inlineStr">
        <is>
          <t>KRONOBERGS LÄN</t>
        </is>
      </c>
      <c r="G268" t="inlineStr">
        <is>
          <t>UPPVIDINGE</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5282-2025</t>
        </is>
      </c>
      <c r="B269" t="inlineStr">
        <is>
          <t>avverkningsanmälan</t>
        </is>
      </c>
      <c r="C269" t="inlineStr">
        <is>
          <t>Föryngringsavverkning</t>
        </is>
      </c>
      <c r="D269" s="1" t="n">
        <v>45692</v>
      </c>
      <c r="E269" s="1" t="n">
        <v>46218</v>
      </c>
      <c r="F269" t="inlineStr">
        <is>
          <t>KRONOBERGS LÄN</t>
        </is>
      </c>
      <c r="G269" t="inlineStr">
        <is>
          <t>UPPVIDINGE</t>
        </is>
      </c>
      <c r="I269" t="n">
        <v>8.6</v>
      </c>
      <c r="J269" t="n">
        <v>0</v>
      </c>
      <c r="K269" t="n">
        <v>0</v>
      </c>
      <c r="L269" t="n">
        <v>0</v>
      </c>
      <c r="M269" t="n">
        <v>0</v>
      </c>
      <c r="N269" t="n">
        <v>0</v>
      </c>
      <c r="O269" t="n">
        <v>0</v>
      </c>
      <c r="P269" t="n">
        <v>0</v>
      </c>
      <c r="Q269" t="n">
        <v>0</v>
      </c>
      <c r="R269" t="n">
        <v>0</v>
      </c>
      <c r="S269" t="n">
        <v>0</v>
      </c>
      <c r="T269" t="n">
        <v>0</v>
      </c>
      <c r="U269" s="2" t="inlineStr"/>
    </row>
    <row r="270" ht="15" customHeight="1">
      <c r="A270" t="inlineStr">
        <is>
          <t>A 42823-2021</t>
        </is>
      </c>
      <c r="B270" t="inlineStr">
        <is>
          <t>avverkningsanmälan</t>
        </is>
      </c>
      <c r="C270" t="inlineStr">
        <is>
          <t>Föryngringsavverkning</t>
        </is>
      </c>
      <c r="D270" s="1" t="n">
        <v>44430</v>
      </c>
      <c r="E270" s="1" t="n">
        <v>46218</v>
      </c>
      <c r="F270" t="inlineStr">
        <is>
          <t>KRONOBERGS LÄN</t>
        </is>
      </c>
      <c r="G270" t="inlineStr">
        <is>
          <t>UPPVIDINGE</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12290-2025</t>
        </is>
      </c>
      <c r="B271" t="inlineStr">
        <is>
          <t>avverkningsanmälan</t>
        </is>
      </c>
      <c r="C271" t="inlineStr">
        <is>
          <t>Föryngringsavverkning</t>
        </is>
      </c>
      <c r="D271" s="1" t="n">
        <v>45729</v>
      </c>
      <c r="E271" s="1" t="n">
        <v>46218</v>
      </c>
      <c r="F271" t="inlineStr">
        <is>
          <t>KRONOBERGS LÄN</t>
        </is>
      </c>
      <c r="G271" t="inlineStr">
        <is>
          <t>UPPVIDINGE</t>
        </is>
      </c>
      <c r="I271" t="n">
        <v>5.6</v>
      </c>
      <c r="J271" t="n">
        <v>0</v>
      </c>
      <c r="K271" t="n">
        <v>0</v>
      </c>
      <c r="L271" t="n">
        <v>0</v>
      </c>
      <c r="M271" t="n">
        <v>0</v>
      </c>
      <c r="N271" t="n">
        <v>0</v>
      </c>
      <c r="O271" t="n">
        <v>0</v>
      </c>
      <c r="P271" t="n">
        <v>0</v>
      </c>
      <c r="Q271" t="n">
        <v>0</v>
      </c>
      <c r="R271" t="n">
        <v>0</v>
      </c>
      <c r="S271" t="n">
        <v>0</v>
      </c>
      <c r="T271" t="n">
        <v>0</v>
      </c>
      <c r="U271" s="2" t="inlineStr"/>
    </row>
    <row r="272" ht="15" customHeight="1">
      <c r="A272" t="inlineStr">
        <is>
          <t>A 1423-2025</t>
        </is>
      </c>
      <c r="B272" t="inlineStr">
        <is>
          <t>avverkningsanmälan</t>
        </is>
      </c>
      <c r="C272" t="inlineStr">
        <is>
          <t>Föryngringsavverkning</t>
        </is>
      </c>
      <c r="D272" s="1" t="n">
        <v>45668</v>
      </c>
      <c r="E272" s="1" t="n">
        <v>46218</v>
      </c>
      <c r="F272" t="inlineStr">
        <is>
          <t>KRONOBERGS LÄN</t>
        </is>
      </c>
      <c r="G272" t="inlineStr">
        <is>
          <t>UPPVIDINGE</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15386-2022</t>
        </is>
      </c>
      <c r="B273" t="inlineStr">
        <is>
          <t>avverkningsanmälan</t>
        </is>
      </c>
      <c r="C273" t="inlineStr">
        <is>
          <t>Föryngringsavverkning</t>
        </is>
      </c>
      <c r="D273" s="1" t="n">
        <v>44659</v>
      </c>
      <c r="E273" s="1" t="n">
        <v>46218</v>
      </c>
      <c r="F273" t="inlineStr">
        <is>
          <t>KRONOBERGS LÄN</t>
        </is>
      </c>
      <c r="G273" t="inlineStr">
        <is>
          <t>UPPVIDINGE</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14640-2023</t>
        </is>
      </c>
      <c r="B274" t="inlineStr">
        <is>
          <t>avverkningsanmälan</t>
        </is>
      </c>
      <c r="C274" t="inlineStr">
        <is>
          <t>Föryngringsavverkning</t>
        </is>
      </c>
      <c r="D274" s="1" t="n">
        <v>45013</v>
      </c>
      <c r="E274" s="1" t="n">
        <v>46218</v>
      </c>
      <c r="F274" t="inlineStr">
        <is>
          <t>KRONOBERGS LÄN</t>
        </is>
      </c>
      <c r="G274" t="inlineStr">
        <is>
          <t>UPPVIDINGE</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43284-2025</t>
        </is>
      </c>
      <c r="B275" t="inlineStr">
        <is>
          <t>avverkningsanmälan</t>
        </is>
      </c>
      <c r="C275" t="inlineStr">
        <is>
          <t>Föryngringsavverkning</t>
        </is>
      </c>
      <c r="D275" s="1" t="n">
        <v>45910</v>
      </c>
      <c r="E275" s="1" t="n">
        <v>46218</v>
      </c>
      <c r="F275" t="inlineStr">
        <is>
          <t>KRONOBERGS LÄN</t>
        </is>
      </c>
      <c r="G275" t="inlineStr">
        <is>
          <t>UPPVIDINGE</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43297-2025</t>
        </is>
      </c>
      <c r="B276" t="inlineStr">
        <is>
          <t>avverkningsanmälan</t>
        </is>
      </c>
      <c r="C276" t="inlineStr">
        <is>
          <t>Föryngringsavverkning</t>
        </is>
      </c>
      <c r="D276" s="1" t="n">
        <v>45910</v>
      </c>
      <c r="E276" s="1" t="n">
        <v>46218</v>
      </c>
      <c r="F276" t="inlineStr">
        <is>
          <t>KRONOBERGS LÄN</t>
        </is>
      </c>
      <c r="G276" t="inlineStr">
        <is>
          <t>UPPVIDINGE</t>
        </is>
      </c>
      <c r="I276" t="n">
        <v>5.3</v>
      </c>
      <c r="J276" t="n">
        <v>0</v>
      </c>
      <c r="K276" t="n">
        <v>0</v>
      </c>
      <c r="L276" t="n">
        <v>0</v>
      </c>
      <c r="M276" t="n">
        <v>0</v>
      </c>
      <c r="N276" t="n">
        <v>0</v>
      </c>
      <c r="O276" t="n">
        <v>0</v>
      </c>
      <c r="P276" t="n">
        <v>0</v>
      </c>
      <c r="Q276" t="n">
        <v>0</v>
      </c>
      <c r="R276" t="n">
        <v>0</v>
      </c>
      <c r="S276" t="n">
        <v>0</v>
      </c>
      <c r="T276" t="n">
        <v>0</v>
      </c>
      <c r="U276" s="2" t="inlineStr"/>
    </row>
    <row r="277" ht="15" customHeight="1">
      <c r="A277" t="inlineStr">
        <is>
          <t>A 43305-2025</t>
        </is>
      </c>
      <c r="B277" t="inlineStr">
        <is>
          <t>avverkningsanmälan</t>
        </is>
      </c>
      <c r="C277" t="inlineStr">
        <is>
          <t>Föryngringsavverkning</t>
        </is>
      </c>
      <c r="D277" s="1" t="n">
        <v>45910</v>
      </c>
      <c r="E277" s="1" t="n">
        <v>46218</v>
      </c>
      <c r="F277" t="inlineStr">
        <is>
          <t>KRONOBERGS LÄN</t>
        </is>
      </c>
      <c r="G277" t="inlineStr">
        <is>
          <t>UPPVIDINGE</t>
        </is>
      </c>
      <c r="I277" t="n">
        <v>3</v>
      </c>
      <c r="J277" t="n">
        <v>0</v>
      </c>
      <c r="K277" t="n">
        <v>0</v>
      </c>
      <c r="L277" t="n">
        <v>0</v>
      </c>
      <c r="M277" t="n">
        <v>0</v>
      </c>
      <c r="N277" t="n">
        <v>0</v>
      </c>
      <c r="O277" t="n">
        <v>0</v>
      </c>
      <c r="P277" t="n">
        <v>0</v>
      </c>
      <c r="Q277" t="n">
        <v>0</v>
      </c>
      <c r="R277" t="n">
        <v>0</v>
      </c>
      <c r="S277" t="n">
        <v>0</v>
      </c>
      <c r="T277" t="n">
        <v>0</v>
      </c>
      <c r="U277" s="2" t="inlineStr"/>
    </row>
    <row r="278" ht="15" customHeight="1">
      <c r="A278" t="inlineStr">
        <is>
          <t>A 3545-2024</t>
        </is>
      </c>
      <c r="B278" t="inlineStr">
        <is>
          <t>avverkningsanmälan</t>
        </is>
      </c>
      <c r="C278" t="inlineStr">
        <is>
          <t>Föryngringsavverkning</t>
        </is>
      </c>
      <c r="D278" s="1" t="n">
        <v>45320</v>
      </c>
      <c r="E278" s="1" t="n">
        <v>46218</v>
      </c>
      <c r="F278" t="inlineStr">
        <is>
          <t>KRONOBERGS LÄN</t>
        </is>
      </c>
      <c r="G278" t="inlineStr">
        <is>
          <t>UPPVIDINGE</t>
        </is>
      </c>
      <c r="I278" t="n">
        <v>2.1</v>
      </c>
      <c r="J278" t="n">
        <v>0</v>
      </c>
      <c r="K278" t="n">
        <v>0</v>
      </c>
      <c r="L278" t="n">
        <v>0</v>
      </c>
      <c r="M278" t="n">
        <v>0</v>
      </c>
      <c r="N278" t="n">
        <v>0</v>
      </c>
      <c r="O278" t="n">
        <v>0</v>
      </c>
      <c r="P278" t="n">
        <v>0</v>
      </c>
      <c r="Q278" t="n">
        <v>0</v>
      </c>
      <c r="R278" t="n">
        <v>0</v>
      </c>
      <c r="S278" t="n">
        <v>0</v>
      </c>
      <c r="T278" t="n">
        <v>0</v>
      </c>
      <c r="U278" s="2" t="inlineStr"/>
    </row>
    <row r="279" ht="15" customHeight="1">
      <c r="A279" t="inlineStr">
        <is>
          <t>A 60670-2023</t>
        </is>
      </c>
      <c r="B279" t="inlineStr">
        <is>
          <t>avverkningsanmälan</t>
        </is>
      </c>
      <c r="C279" t="inlineStr">
        <is>
          <t>Föryngringsavverkning</t>
        </is>
      </c>
      <c r="D279" s="1" t="n">
        <v>45260</v>
      </c>
      <c r="E279" s="1" t="n">
        <v>46218</v>
      </c>
      <c r="F279" t="inlineStr">
        <is>
          <t>KRONOBERGS LÄN</t>
        </is>
      </c>
      <c r="G279" t="inlineStr">
        <is>
          <t>UPPVIDINGE</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7981-2024</t>
        </is>
      </c>
      <c r="B280" t="inlineStr">
        <is>
          <t>avverkningsanmälan</t>
        </is>
      </c>
      <c r="C280" t="inlineStr">
        <is>
          <t>Föryngringsavverkning</t>
        </is>
      </c>
      <c r="D280" s="1" t="n">
        <v>45348</v>
      </c>
      <c r="E280" s="1" t="n">
        <v>46218</v>
      </c>
      <c r="F280" t="inlineStr">
        <is>
          <t>KRONOBERGS LÄN</t>
        </is>
      </c>
      <c r="G280" t="inlineStr">
        <is>
          <t>UPPVIDINGE</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9165-2025</t>
        </is>
      </c>
      <c r="B281" t="inlineStr">
        <is>
          <t>avverkningsanmälan</t>
        </is>
      </c>
      <c r="C281" t="inlineStr">
        <is>
          <t>Föryngringsavverkning</t>
        </is>
      </c>
      <c r="D281" s="1" t="n">
        <v>45714</v>
      </c>
      <c r="E281" s="1" t="n">
        <v>46218</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4712-2022</t>
        </is>
      </c>
      <c r="B282" t="inlineStr">
        <is>
          <t>avverkningsanmälan</t>
        </is>
      </c>
      <c r="C282" t="inlineStr">
        <is>
          <t>Föryngringsavverkning</t>
        </is>
      </c>
      <c r="D282" s="1" t="n">
        <v>44592</v>
      </c>
      <c r="E282" s="1" t="n">
        <v>46218</v>
      </c>
      <c r="F282" t="inlineStr">
        <is>
          <t>KRONOBERGS LÄN</t>
        </is>
      </c>
      <c r="G282" t="inlineStr">
        <is>
          <t>UPPVIDINGE</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5036-2022</t>
        </is>
      </c>
      <c r="B283" t="inlineStr">
        <is>
          <t>avverkningsanmälan</t>
        </is>
      </c>
      <c r="C283" t="inlineStr">
        <is>
          <t>Föryngringsavverkning</t>
        </is>
      </c>
      <c r="D283" s="1" t="n">
        <v>44593</v>
      </c>
      <c r="E283" s="1" t="n">
        <v>46218</v>
      </c>
      <c r="F283" t="inlineStr">
        <is>
          <t>KRONOBERGS LÄN</t>
        </is>
      </c>
      <c r="G283" t="inlineStr">
        <is>
          <t>UPPVIDINGE</t>
        </is>
      </c>
      <c r="I283" t="n">
        <v>9.6</v>
      </c>
      <c r="J283" t="n">
        <v>0</v>
      </c>
      <c r="K283" t="n">
        <v>0</v>
      </c>
      <c r="L283" t="n">
        <v>0</v>
      </c>
      <c r="M283" t="n">
        <v>0</v>
      </c>
      <c r="N283" t="n">
        <v>0</v>
      </c>
      <c r="O283" t="n">
        <v>0</v>
      </c>
      <c r="P283" t="n">
        <v>0</v>
      </c>
      <c r="Q283" t="n">
        <v>0</v>
      </c>
      <c r="R283" t="n">
        <v>0</v>
      </c>
      <c r="S283" t="n">
        <v>0</v>
      </c>
      <c r="T283" t="n">
        <v>0</v>
      </c>
      <c r="U283" s="2" t="inlineStr"/>
    </row>
    <row r="284" ht="15" customHeight="1">
      <c r="A284" t="inlineStr">
        <is>
          <t>A 7504-2023</t>
        </is>
      </c>
      <c r="B284" t="inlineStr">
        <is>
          <t>avverkningsanmälan</t>
        </is>
      </c>
      <c r="C284" t="inlineStr">
        <is>
          <t>Föryngringsavverkning</t>
        </is>
      </c>
      <c r="D284" s="1" t="n">
        <v>44971</v>
      </c>
      <c r="E284" s="1" t="n">
        <v>46218</v>
      </c>
      <c r="F284" t="inlineStr">
        <is>
          <t>KRONOBERGS LÄN</t>
        </is>
      </c>
      <c r="G284" t="inlineStr">
        <is>
          <t>UPPVIDINGE</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7500-2023</t>
        </is>
      </c>
      <c r="B285" t="inlineStr">
        <is>
          <t>avverkningsanmälan</t>
        </is>
      </c>
      <c r="C285" t="inlineStr">
        <is>
          <t>Föryngringsavverkning</t>
        </is>
      </c>
      <c r="D285" s="1" t="n">
        <v>44971</v>
      </c>
      <c r="E285" s="1" t="n">
        <v>46218</v>
      </c>
      <c r="F285" t="inlineStr">
        <is>
          <t>KRONOBERGS LÄN</t>
        </is>
      </c>
      <c r="G285" t="inlineStr">
        <is>
          <t>UPPVIDINGE</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69941-2021</t>
        </is>
      </c>
      <c r="B286" t="inlineStr">
        <is>
          <t>avverkningsanmälan</t>
        </is>
      </c>
      <c r="C286" t="inlineStr">
        <is>
          <t>Föryngringsavverkning</t>
        </is>
      </c>
      <c r="D286" s="1" t="n">
        <v>44533</v>
      </c>
      <c r="E286" s="1" t="n">
        <v>46218</v>
      </c>
      <c r="F286" t="inlineStr">
        <is>
          <t>KRONOBERGS LÄN</t>
        </is>
      </c>
      <c r="G286" t="inlineStr">
        <is>
          <t>UPPVIDINGE</t>
        </is>
      </c>
      <c r="I286" t="n">
        <v>2.7</v>
      </c>
      <c r="J286" t="n">
        <v>0</v>
      </c>
      <c r="K286" t="n">
        <v>0</v>
      </c>
      <c r="L286" t="n">
        <v>0</v>
      </c>
      <c r="M286" t="n">
        <v>0</v>
      </c>
      <c r="N286" t="n">
        <v>0</v>
      </c>
      <c r="O286" t="n">
        <v>0</v>
      </c>
      <c r="P286" t="n">
        <v>0</v>
      </c>
      <c r="Q286" t="n">
        <v>0</v>
      </c>
      <c r="R286" t="n">
        <v>0</v>
      </c>
      <c r="S286" t="n">
        <v>0</v>
      </c>
      <c r="T286" t="n">
        <v>0</v>
      </c>
      <c r="U286" s="2" t="inlineStr"/>
    </row>
    <row r="287" ht="15" customHeight="1">
      <c r="A287" t="inlineStr">
        <is>
          <t>A 27114-2024</t>
        </is>
      </c>
      <c r="B287" t="inlineStr">
        <is>
          <t>avverkningsanmälan</t>
        </is>
      </c>
      <c r="C287" t="inlineStr">
        <is>
          <t>Föryngringsavverkning</t>
        </is>
      </c>
      <c r="D287" s="1" t="n">
        <v>45471</v>
      </c>
      <c r="E287" s="1" t="n">
        <v>46218</v>
      </c>
      <c r="F287" t="inlineStr">
        <is>
          <t>KRONOBERGS LÄN</t>
        </is>
      </c>
      <c r="G287" t="inlineStr">
        <is>
          <t>UPPVIDINGE</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23784-2024</t>
        </is>
      </c>
      <c r="B288" t="inlineStr">
        <is>
          <t>avverkningsanmälan</t>
        </is>
      </c>
      <c r="C288" t="inlineStr">
        <is>
          <t>Föryngringsavverkning</t>
        </is>
      </c>
      <c r="D288" s="1" t="n">
        <v>45455</v>
      </c>
      <c r="E288" s="1" t="n">
        <v>46218</v>
      </c>
      <c r="F288" t="inlineStr">
        <is>
          <t>KRONOBERGS LÄN</t>
        </is>
      </c>
      <c r="G288" t="inlineStr">
        <is>
          <t>UPPVIDINGE</t>
        </is>
      </c>
      <c r="H288" t="inlineStr">
        <is>
          <t>Kyrkan</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26204-2023</t>
        </is>
      </c>
      <c r="B289" t="inlineStr">
        <is>
          <t>avverkningsanmälan</t>
        </is>
      </c>
      <c r="C289" t="inlineStr">
        <is>
          <t>Föryngringsavverkning</t>
        </is>
      </c>
      <c r="D289" s="1" t="n">
        <v>45091</v>
      </c>
      <c r="E289" s="1" t="n">
        <v>46218</v>
      </c>
      <c r="F289" t="inlineStr">
        <is>
          <t>KRONOBERGS LÄN</t>
        </is>
      </c>
      <c r="G289" t="inlineStr">
        <is>
          <t>UPPVIDINGE</t>
        </is>
      </c>
      <c r="H289" t="inlineStr">
        <is>
          <t>Sveaskog</t>
        </is>
      </c>
      <c r="I289" t="n">
        <v>6.8</v>
      </c>
      <c r="J289" t="n">
        <v>0</v>
      </c>
      <c r="K289" t="n">
        <v>0</v>
      </c>
      <c r="L289" t="n">
        <v>0</v>
      </c>
      <c r="M289" t="n">
        <v>0</v>
      </c>
      <c r="N289" t="n">
        <v>0</v>
      </c>
      <c r="O289" t="n">
        <v>0</v>
      </c>
      <c r="P289" t="n">
        <v>0</v>
      </c>
      <c r="Q289" t="n">
        <v>0</v>
      </c>
      <c r="R289" t="n">
        <v>0</v>
      </c>
      <c r="S289" t="n">
        <v>0</v>
      </c>
      <c r="T289" t="n">
        <v>0</v>
      </c>
      <c r="U289" s="2" t="inlineStr"/>
    </row>
    <row r="290" ht="15" customHeight="1">
      <c r="A290" t="inlineStr">
        <is>
          <t>A 53492-2023</t>
        </is>
      </c>
      <c r="B290" t="inlineStr">
        <is>
          <t>avverkningsanmälan</t>
        </is>
      </c>
      <c r="C290" t="inlineStr">
        <is>
          <t>Föryngringsavverkning</t>
        </is>
      </c>
      <c r="D290" s="1" t="n">
        <v>45230</v>
      </c>
      <c r="E290" s="1" t="n">
        <v>46218</v>
      </c>
      <c r="F290" t="inlineStr">
        <is>
          <t>KRONOBERGS LÄN</t>
        </is>
      </c>
      <c r="G290" t="inlineStr">
        <is>
          <t>UPPVIDINGE</t>
        </is>
      </c>
      <c r="H290" t="inlineStr">
        <is>
          <t>Sveaskog</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45695-2025</t>
        </is>
      </c>
      <c r="B291" t="inlineStr">
        <is>
          <t>avverkningsanmälan</t>
        </is>
      </c>
      <c r="C291" t="inlineStr">
        <is>
          <t>Föryngringsavverkning</t>
        </is>
      </c>
      <c r="D291" s="1" t="n">
        <v>45923</v>
      </c>
      <c r="E291" s="1" t="n">
        <v>46218</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37844-2024</t>
        </is>
      </c>
      <c r="B292" t="inlineStr">
        <is>
          <t>avverkningsanmälan</t>
        </is>
      </c>
      <c r="C292" t="inlineStr">
        <is>
          <t>Föryngringsavverkning</t>
        </is>
      </c>
      <c r="D292" s="1" t="n">
        <v>45544</v>
      </c>
      <c r="E292" s="1" t="n">
        <v>46218</v>
      </c>
      <c r="F292" t="inlineStr">
        <is>
          <t>KRONOBERGS LÄN</t>
        </is>
      </c>
      <c r="G292" t="inlineStr">
        <is>
          <t>UPPVIDINGE</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45798-2025</t>
        </is>
      </c>
      <c r="B293" t="inlineStr">
        <is>
          <t>avverkningsanmälan</t>
        </is>
      </c>
      <c r="C293" t="inlineStr">
        <is>
          <t>Föryngringsavverkning</t>
        </is>
      </c>
      <c r="D293" s="1" t="n">
        <v>45923</v>
      </c>
      <c r="E293" s="1" t="n">
        <v>46218</v>
      </c>
      <c r="F293" t="inlineStr">
        <is>
          <t>KRONOBERGS LÄN</t>
        </is>
      </c>
      <c r="G293" t="inlineStr">
        <is>
          <t>UPPVIDINGE</t>
        </is>
      </c>
      <c r="I293" t="n">
        <v>4.4</v>
      </c>
      <c r="J293" t="n">
        <v>0</v>
      </c>
      <c r="K293" t="n">
        <v>0</v>
      </c>
      <c r="L293" t="n">
        <v>0</v>
      </c>
      <c r="M293" t="n">
        <v>0</v>
      </c>
      <c r="N293" t="n">
        <v>0</v>
      </c>
      <c r="O293" t="n">
        <v>0</v>
      </c>
      <c r="P293" t="n">
        <v>0</v>
      </c>
      <c r="Q293" t="n">
        <v>0</v>
      </c>
      <c r="R293" t="n">
        <v>0</v>
      </c>
      <c r="S293" t="n">
        <v>0</v>
      </c>
      <c r="T293" t="n">
        <v>0</v>
      </c>
      <c r="U293" s="2" t="inlineStr"/>
    </row>
    <row r="294" ht="15" customHeight="1">
      <c r="A294" t="inlineStr">
        <is>
          <t>A 54094-2022</t>
        </is>
      </c>
      <c r="B294" t="inlineStr">
        <is>
          <t>avverkningsanmälan</t>
        </is>
      </c>
      <c r="C294" t="inlineStr">
        <is>
          <t>Föryngringsavverkning</t>
        </is>
      </c>
      <c r="D294" s="1" t="n">
        <v>44881</v>
      </c>
      <c r="E294" s="1" t="n">
        <v>46218</v>
      </c>
      <c r="F294" t="inlineStr">
        <is>
          <t>KRONOBERGS LÄN</t>
        </is>
      </c>
      <c r="G294" t="inlineStr">
        <is>
          <t>UPPVIDINGE</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2268-2023</t>
        </is>
      </c>
      <c r="B295" t="inlineStr">
        <is>
          <t>avverkningsanmälan</t>
        </is>
      </c>
      <c r="C295" t="inlineStr">
        <is>
          <t>Föryngringsavverkning</t>
        </is>
      </c>
      <c r="D295" s="1" t="n">
        <v>44942</v>
      </c>
      <c r="E295" s="1" t="n">
        <v>46218</v>
      </c>
      <c r="F295" t="inlineStr">
        <is>
          <t>KRONOBERGS LÄN</t>
        </is>
      </c>
      <c r="G295" t="inlineStr">
        <is>
          <t>UPPVIDINGE</t>
        </is>
      </c>
      <c r="I295" t="n">
        <v>0</v>
      </c>
      <c r="J295" t="n">
        <v>0</v>
      </c>
      <c r="K295" t="n">
        <v>0</v>
      </c>
      <c r="L295" t="n">
        <v>0</v>
      </c>
      <c r="M295" t="n">
        <v>0</v>
      </c>
      <c r="N295" t="n">
        <v>0</v>
      </c>
      <c r="O295" t="n">
        <v>0</v>
      </c>
      <c r="P295" t="n">
        <v>0</v>
      </c>
      <c r="Q295" t="n">
        <v>0</v>
      </c>
      <c r="R295" t="n">
        <v>0</v>
      </c>
      <c r="S295" t="n">
        <v>0</v>
      </c>
      <c r="T295" t="n">
        <v>0</v>
      </c>
      <c r="U295" s="2" t="inlineStr"/>
    </row>
    <row r="296" ht="15" customHeight="1">
      <c r="A296" t="inlineStr">
        <is>
          <t>A 23155-2023</t>
        </is>
      </c>
      <c r="B296" t="inlineStr">
        <is>
          <t>avverkningsanmälan</t>
        </is>
      </c>
      <c r="C296" t="inlineStr">
        <is>
          <t>Föryngringsavverkning</t>
        </is>
      </c>
      <c r="D296" s="1" t="n">
        <v>45075</v>
      </c>
      <c r="E296" s="1" t="n">
        <v>46218</v>
      </c>
      <c r="F296" t="inlineStr">
        <is>
          <t>KRONOBERGS LÄN</t>
        </is>
      </c>
      <c r="G296" t="inlineStr">
        <is>
          <t>UPPVIDINGE</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16643-2024</t>
        </is>
      </c>
      <c r="B297" t="inlineStr">
        <is>
          <t>avverkningsanmälan</t>
        </is>
      </c>
      <c r="C297" t="inlineStr">
        <is>
          <t>Föryngringsavverkning</t>
        </is>
      </c>
      <c r="D297" s="1" t="n">
        <v>45408</v>
      </c>
      <c r="E297" s="1" t="n">
        <v>46218</v>
      </c>
      <c r="F297" t="inlineStr">
        <is>
          <t>KRONOBERGS LÄN</t>
        </is>
      </c>
      <c r="G297" t="inlineStr">
        <is>
          <t>UPPVIDINGE</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2045-2023</t>
        </is>
      </c>
      <c r="B298" t="inlineStr">
        <is>
          <t>avverkningsanmälan</t>
        </is>
      </c>
      <c r="C298" t="inlineStr">
        <is>
          <t>Föryngringsavverkning</t>
        </is>
      </c>
      <c r="D298" s="1" t="n">
        <v>44939</v>
      </c>
      <c r="E298" s="1" t="n">
        <v>46218</v>
      </c>
      <c r="F298" t="inlineStr">
        <is>
          <t>KRONOBERGS LÄN</t>
        </is>
      </c>
      <c r="G298" t="inlineStr">
        <is>
          <t>UPPVIDINGE</t>
        </is>
      </c>
      <c r="I298" t="n">
        <v>7.9</v>
      </c>
      <c r="J298" t="n">
        <v>0</v>
      </c>
      <c r="K298" t="n">
        <v>0</v>
      </c>
      <c r="L298" t="n">
        <v>0</v>
      </c>
      <c r="M298" t="n">
        <v>0</v>
      </c>
      <c r="N298" t="n">
        <v>0</v>
      </c>
      <c r="O298" t="n">
        <v>0</v>
      </c>
      <c r="P298" t="n">
        <v>0</v>
      </c>
      <c r="Q298" t="n">
        <v>0</v>
      </c>
      <c r="R298" t="n">
        <v>0</v>
      </c>
      <c r="S298" t="n">
        <v>0</v>
      </c>
      <c r="T298" t="n">
        <v>0</v>
      </c>
      <c r="U298" s="2" t="inlineStr"/>
    </row>
    <row r="299" ht="15" customHeight="1">
      <c r="A299" t="inlineStr">
        <is>
          <t>A 53260-2023</t>
        </is>
      </c>
      <c r="B299" t="inlineStr">
        <is>
          <t>avverkningsanmälan</t>
        </is>
      </c>
      <c r="C299" t="inlineStr">
        <is>
          <t>Föryngringsavverkning</t>
        </is>
      </c>
      <c r="D299" s="1" t="n">
        <v>45229</v>
      </c>
      <c r="E299" s="1" t="n">
        <v>46218</v>
      </c>
      <c r="F299" t="inlineStr">
        <is>
          <t>KRONOBERGS LÄN</t>
        </is>
      </c>
      <c r="G299" t="inlineStr">
        <is>
          <t>UPPVIDINGE</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19056-2025</t>
        </is>
      </c>
      <c r="B300" t="inlineStr">
        <is>
          <t>avverkningsanmälan</t>
        </is>
      </c>
      <c r="C300" t="inlineStr">
        <is>
          <t>Föryngringsavverkning</t>
        </is>
      </c>
      <c r="D300" s="1" t="n">
        <v>45764</v>
      </c>
      <c r="E300" s="1" t="n">
        <v>46218</v>
      </c>
      <c r="F300" t="inlineStr">
        <is>
          <t>KRONOBERGS LÄN</t>
        </is>
      </c>
      <c r="G300" t="inlineStr">
        <is>
          <t>UPPVIDINGE</t>
        </is>
      </c>
      <c r="H300" t="inlineStr">
        <is>
          <t>Sveaskog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52449-2023</t>
        </is>
      </c>
      <c r="B301" t="inlineStr">
        <is>
          <t>avverkningsanmälan</t>
        </is>
      </c>
      <c r="C301" t="inlineStr">
        <is>
          <t>Föryngringsavverkning</t>
        </is>
      </c>
      <c r="D301" s="1" t="n">
        <v>45225</v>
      </c>
      <c r="E301" s="1" t="n">
        <v>46218</v>
      </c>
      <c r="F301" t="inlineStr">
        <is>
          <t>KRONOBERGS LÄN</t>
        </is>
      </c>
      <c r="G301" t="inlineStr">
        <is>
          <t>UPPVIDINGE</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5273-2025</t>
        </is>
      </c>
      <c r="B302" t="inlineStr">
        <is>
          <t>avverkningsanmälan</t>
        </is>
      </c>
      <c r="C302" t="inlineStr">
        <is>
          <t>Föryngringsavverkning</t>
        </is>
      </c>
      <c r="D302" s="1" t="n">
        <v>45692</v>
      </c>
      <c r="E302" s="1" t="n">
        <v>46218</v>
      </c>
      <c r="F302" t="inlineStr">
        <is>
          <t>KRONOBERGS LÄN</t>
        </is>
      </c>
      <c r="G302" t="inlineStr">
        <is>
          <t>UPPVIDINGE</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7139-2025</t>
        </is>
      </c>
      <c r="B303" t="inlineStr">
        <is>
          <t>avverkningsanmälan</t>
        </is>
      </c>
      <c r="C303" t="inlineStr">
        <is>
          <t>Föryngringsavverkning</t>
        </is>
      </c>
      <c r="D303" s="1" t="n">
        <v>45702</v>
      </c>
      <c r="E303" s="1" t="n">
        <v>46218</v>
      </c>
      <c r="F303" t="inlineStr">
        <is>
          <t>KRONOBERGS LÄN</t>
        </is>
      </c>
      <c r="G303" t="inlineStr">
        <is>
          <t>UPPVIDINGE</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3370-2024</t>
        </is>
      </c>
      <c r="B304" t="inlineStr">
        <is>
          <t>avverkningsanmälan</t>
        </is>
      </c>
      <c r="C304" t="inlineStr">
        <is>
          <t>Avverkning för annat ändamål</t>
        </is>
      </c>
      <c r="D304" s="1" t="n">
        <v>45317</v>
      </c>
      <c r="E304" s="1" t="n">
        <v>46218</v>
      </c>
      <c r="F304" t="inlineStr">
        <is>
          <t>KRONOBERGS LÄN</t>
        </is>
      </c>
      <c r="G304" t="inlineStr">
        <is>
          <t>UPPVIDINGE</t>
        </is>
      </c>
      <c r="H304" t="inlineStr">
        <is>
          <t>Sveaskog</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18304-2023</t>
        </is>
      </c>
      <c r="B305" t="inlineStr">
        <is>
          <t>avverkningsanmälan</t>
        </is>
      </c>
      <c r="C305" t="inlineStr">
        <is>
          <t>Föryngringsavverkning</t>
        </is>
      </c>
      <c r="D305" s="1" t="n">
        <v>45041</v>
      </c>
      <c r="E305" s="1" t="n">
        <v>46218</v>
      </c>
      <c r="F305" t="inlineStr">
        <is>
          <t>KRONOBERGS LÄN</t>
        </is>
      </c>
      <c r="G305" t="inlineStr">
        <is>
          <t>UPPVIDINGE</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6333-2024</t>
        </is>
      </c>
      <c r="B306" t="inlineStr">
        <is>
          <t>avverkningsanmälan</t>
        </is>
      </c>
      <c r="C306" t="inlineStr">
        <is>
          <t>Föryngringsavverkning</t>
        </is>
      </c>
      <c r="D306" s="1" t="n">
        <v>45338</v>
      </c>
      <c r="E306" s="1" t="n">
        <v>46218</v>
      </c>
      <c r="F306" t="inlineStr">
        <is>
          <t>KRONOBERGS LÄN</t>
        </is>
      </c>
      <c r="G306" t="inlineStr">
        <is>
          <t>UPPVIDINGE</t>
        </is>
      </c>
      <c r="H306" t="inlineStr">
        <is>
          <t>Sveaskog</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52865-2023</t>
        </is>
      </c>
      <c r="B307" t="inlineStr">
        <is>
          <t>avverkningsanmälan</t>
        </is>
      </c>
      <c r="C307" t="inlineStr">
        <is>
          <t>Föryngringsavverkning</t>
        </is>
      </c>
      <c r="D307" s="1" t="n">
        <v>45226</v>
      </c>
      <c r="E307" s="1" t="n">
        <v>46218</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35496-2023</t>
        </is>
      </c>
      <c r="B308" t="inlineStr">
        <is>
          <t>avverkningsanmälan</t>
        </is>
      </c>
      <c r="C308" t="inlineStr">
        <is>
          <t>Föryngringsavverkning</t>
        </is>
      </c>
      <c r="D308" s="1" t="n">
        <v>45146</v>
      </c>
      <c r="E308" s="1" t="n">
        <v>46218</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1481-2023</t>
        </is>
      </c>
      <c r="B309" t="inlineStr">
        <is>
          <t>avverkningsanmälan</t>
        </is>
      </c>
      <c r="C309" t="inlineStr">
        <is>
          <t>Föryngringsavverkning</t>
        </is>
      </c>
      <c r="D309" s="1" t="n">
        <v>44937</v>
      </c>
      <c r="E309" s="1" t="n">
        <v>46218</v>
      </c>
      <c r="F309" t="inlineStr">
        <is>
          <t>KRONOBERGS LÄN</t>
        </is>
      </c>
      <c r="G309" t="inlineStr">
        <is>
          <t>UPPVIDINGE</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1482-2023</t>
        </is>
      </c>
      <c r="B310" t="inlineStr">
        <is>
          <t>avverkningsanmälan</t>
        </is>
      </c>
      <c r="C310" t="inlineStr">
        <is>
          <t>Föryngringsavverkning</t>
        </is>
      </c>
      <c r="D310" s="1" t="n">
        <v>44937</v>
      </c>
      <c r="E310" s="1" t="n">
        <v>46218</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45904-2023</t>
        </is>
      </c>
      <c r="B311" t="inlineStr">
        <is>
          <t>avverkningsanmälan</t>
        </is>
      </c>
      <c r="C311" t="inlineStr">
        <is>
          <t>Föryngringsavverkning</t>
        </is>
      </c>
      <c r="D311" s="1" t="n">
        <v>45195</v>
      </c>
      <c r="E311" s="1" t="n">
        <v>46218</v>
      </c>
      <c r="F311" t="inlineStr">
        <is>
          <t>KRONOBERGS LÄN</t>
        </is>
      </c>
      <c r="G311" t="inlineStr">
        <is>
          <t>UPPVIDINGE</t>
        </is>
      </c>
      <c r="I311" t="n">
        <v>10.3</v>
      </c>
      <c r="J311" t="n">
        <v>0</v>
      </c>
      <c r="K311" t="n">
        <v>0</v>
      </c>
      <c r="L311" t="n">
        <v>0</v>
      </c>
      <c r="M311" t="n">
        <v>0</v>
      </c>
      <c r="N311" t="n">
        <v>0</v>
      </c>
      <c r="O311" t="n">
        <v>0</v>
      </c>
      <c r="P311" t="n">
        <v>0</v>
      </c>
      <c r="Q311" t="n">
        <v>0</v>
      </c>
      <c r="R311" t="n">
        <v>0</v>
      </c>
      <c r="S311" t="n">
        <v>0</v>
      </c>
      <c r="T311" t="n">
        <v>0</v>
      </c>
      <c r="U311" s="2" t="inlineStr"/>
    </row>
    <row r="312" ht="15" customHeight="1">
      <c r="A312" t="inlineStr">
        <is>
          <t>A 8926-2024</t>
        </is>
      </c>
      <c r="B312" t="inlineStr">
        <is>
          <t>avverkningsanmälan</t>
        </is>
      </c>
      <c r="C312" t="inlineStr">
        <is>
          <t>Avverkning för annat ändamål</t>
        </is>
      </c>
      <c r="D312" s="1" t="n">
        <v>45357</v>
      </c>
      <c r="E312" s="1" t="n">
        <v>46218</v>
      </c>
      <c r="F312" t="inlineStr">
        <is>
          <t>KRONOBERGS LÄN</t>
        </is>
      </c>
      <c r="G312" t="inlineStr">
        <is>
          <t>UPPVIDINGE</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53134-2023</t>
        </is>
      </c>
      <c r="B313" t="inlineStr">
        <is>
          <t>avverkningsanmälan</t>
        </is>
      </c>
      <c r="C313" t="inlineStr">
        <is>
          <t>Föryngringsavverkning</t>
        </is>
      </c>
      <c r="D313" s="1" t="n">
        <v>45229</v>
      </c>
      <c r="E313" s="1" t="n">
        <v>46218</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30097-2022</t>
        </is>
      </c>
      <c r="B314" t="inlineStr">
        <is>
          <t>avverkningsanmälan</t>
        </is>
      </c>
      <c r="C314" t="inlineStr">
        <is>
          <t>Föryngringsavverkning</t>
        </is>
      </c>
      <c r="D314" s="1" t="n">
        <v>44757</v>
      </c>
      <c r="E314" s="1" t="n">
        <v>46218</v>
      </c>
      <c r="F314" t="inlineStr">
        <is>
          <t>KRONOBERGS LÄN</t>
        </is>
      </c>
      <c r="G314" t="inlineStr">
        <is>
          <t>UPPVIDINGE</t>
        </is>
      </c>
      <c r="H314" t="inlineStr">
        <is>
          <t>Sveaskog</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35492-2023</t>
        </is>
      </c>
      <c r="B315" t="inlineStr">
        <is>
          <t>avverkningsanmälan</t>
        </is>
      </c>
      <c r="C315" t="inlineStr">
        <is>
          <t>Föryngringsavverkning</t>
        </is>
      </c>
      <c r="D315" s="1" t="n">
        <v>45146</v>
      </c>
      <c r="E315" s="1" t="n">
        <v>46218</v>
      </c>
      <c r="F315" t="inlineStr">
        <is>
          <t>KRONOBERGS LÄN</t>
        </is>
      </c>
      <c r="G315" t="inlineStr">
        <is>
          <t>UPPVIDINGE</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35494-2023</t>
        </is>
      </c>
      <c r="B316" t="inlineStr">
        <is>
          <t>avverkningsanmälan</t>
        </is>
      </c>
      <c r="C316" t="inlineStr">
        <is>
          <t>Föryngringsavverkning</t>
        </is>
      </c>
      <c r="D316" s="1" t="n">
        <v>45146</v>
      </c>
      <c r="E316" s="1" t="n">
        <v>46218</v>
      </c>
      <c r="F316" t="inlineStr">
        <is>
          <t>KRONOBERGS LÄN</t>
        </is>
      </c>
      <c r="G316" t="inlineStr">
        <is>
          <t>UPPVIDINGE</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15294-2025</t>
        </is>
      </c>
      <c r="B317" t="inlineStr">
        <is>
          <t>avverkningsanmälan</t>
        </is>
      </c>
      <c r="C317" t="inlineStr">
        <is>
          <t>Föryngringsavverkning</t>
        </is>
      </c>
      <c r="D317" s="1" t="n">
        <v>45745</v>
      </c>
      <c r="E317" s="1" t="n">
        <v>46218</v>
      </c>
      <c r="F317" t="inlineStr">
        <is>
          <t>KRONOBERGS LÄN</t>
        </is>
      </c>
      <c r="G317" t="inlineStr">
        <is>
          <t>UPPVIDINGE</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9674-2025</t>
        </is>
      </c>
      <c r="B318" t="inlineStr">
        <is>
          <t>avverkningsanmälan</t>
        </is>
      </c>
      <c r="C318" t="inlineStr">
        <is>
          <t>Föryngringsavverkning</t>
        </is>
      </c>
      <c r="D318" s="1" t="n">
        <v>45716</v>
      </c>
      <c r="E318" s="1" t="n">
        <v>46218</v>
      </c>
      <c r="F318" t="inlineStr">
        <is>
          <t>KRONOBERGS LÄN</t>
        </is>
      </c>
      <c r="G318" t="inlineStr">
        <is>
          <t>UPPVIDINGE</t>
        </is>
      </c>
      <c r="H318" t="inlineStr">
        <is>
          <t>Sveaskog</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9685-2025</t>
        </is>
      </c>
      <c r="B319" t="inlineStr">
        <is>
          <t>avverkningsanmälan</t>
        </is>
      </c>
      <c r="C319" t="inlineStr">
        <is>
          <t>Föryngringsavverkning</t>
        </is>
      </c>
      <c r="D319" s="1" t="n">
        <v>45716</v>
      </c>
      <c r="E319" s="1" t="n">
        <v>46218</v>
      </c>
      <c r="F319" t="inlineStr">
        <is>
          <t>KRONOBERGS LÄN</t>
        </is>
      </c>
      <c r="G319" t="inlineStr">
        <is>
          <t>UPPVIDINGE</t>
        </is>
      </c>
      <c r="H319" t="inlineStr">
        <is>
          <t>Sveaskog</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48278-2025</t>
        </is>
      </c>
      <c r="B320" t="inlineStr">
        <is>
          <t>avverkningsanmälan</t>
        </is>
      </c>
      <c r="C320" t="inlineStr">
        <is>
          <t>Föryngringsavverkning</t>
        </is>
      </c>
      <c r="D320" s="1" t="n">
        <v>45933</v>
      </c>
      <c r="E320" s="1" t="n">
        <v>46218</v>
      </c>
      <c r="F320" t="inlineStr">
        <is>
          <t>KRONOBERGS LÄN</t>
        </is>
      </c>
      <c r="G320" t="inlineStr">
        <is>
          <t>UPPVIDINGE</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6611-2024</t>
        </is>
      </c>
      <c r="B321" t="inlineStr">
        <is>
          <t>avverkningsanmälan</t>
        </is>
      </c>
      <c r="C321" t="inlineStr">
        <is>
          <t>Föryngringsavverkning</t>
        </is>
      </c>
      <c r="D321" s="1" t="n">
        <v>45341</v>
      </c>
      <c r="E321" s="1" t="n">
        <v>46218</v>
      </c>
      <c r="F321" t="inlineStr">
        <is>
          <t>KRONOBERGS LÄN</t>
        </is>
      </c>
      <c r="G321" t="inlineStr">
        <is>
          <t>UPPVIDINGE</t>
        </is>
      </c>
      <c r="H321" t="inlineStr">
        <is>
          <t>Sveaskog</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24788-2024</t>
        </is>
      </c>
      <c r="B322" t="inlineStr">
        <is>
          <t>avverkningsanmälan</t>
        </is>
      </c>
      <c r="C322" t="inlineStr">
        <is>
          <t>Föryngringsavverkning</t>
        </is>
      </c>
      <c r="D322" s="1" t="n">
        <v>45460</v>
      </c>
      <c r="E322" s="1" t="n">
        <v>46218</v>
      </c>
      <c r="F322" t="inlineStr">
        <is>
          <t>KRONOBERGS LÄN</t>
        </is>
      </c>
      <c r="G322" t="inlineStr">
        <is>
          <t>UPPVIDINGE</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52010-2023</t>
        </is>
      </c>
      <c r="B323" t="inlineStr">
        <is>
          <t>avverkningsanmälan</t>
        </is>
      </c>
      <c r="C323" t="inlineStr">
        <is>
          <t>Föryngringsavverkning</t>
        </is>
      </c>
      <c r="D323" s="1" t="n">
        <v>45223</v>
      </c>
      <c r="E323" s="1" t="n">
        <v>46218</v>
      </c>
      <c r="F323" t="inlineStr">
        <is>
          <t>KRONOBERGS LÄN</t>
        </is>
      </c>
      <c r="G323" t="inlineStr">
        <is>
          <t>UPPVIDINGE</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41805-2024</t>
        </is>
      </c>
      <c r="B324" t="inlineStr">
        <is>
          <t>avverkningsanmälan</t>
        </is>
      </c>
      <c r="C324" t="inlineStr">
        <is>
          <t>Föryngringsavverkning</t>
        </is>
      </c>
      <c r="D324" s="1" t="n">
        <v>45561</v>
      </c>
      <c r="E324" s="1" t="n">
        <v>46218</v>
      </c>
      <c r="F324" t="inlineStr">
        <is>
          <t>KRONOBERGS LÄN</t>
        </is>
      </c>
      <c r="G324" t="inlineStr">
        <is>
          <t>UPPVIDINGE</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56047-2023</t>
        </is>
      </c>
      <c r="B325" t="inlineStr">
        <is>
          <t>avverkningsanmälan</t>
        </is>
      </c>
      <c r="C325" t="inlineStr">
        <is>
          <t>Föryngringsavverkning</t>
        </is>
      </c>
      <c r="D325" s="1" t="n">
        <v>45233</v>
      </c>
      <c r="E325" s="1" t="n">
        <v>46218</v>
      </c>
      <c r="F325" t="inlineStr">
        <is>
          <t>KRONOBERGS LÄN</t>
        </is>
      </c>
      <c r="G325" t="inlineStr">
        <is>
          <t>UPPVIDINGE</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19054-2025</t>
        </is>
      </c>
      <c r="B326" t="inlineStr">
        <is>
          <t>avverkningsanmälan</t>
        </is>
      </c>
      <c r="C326" t="inlineStr">
        <is>
          <t>Föryngringsavverkning</t>
        </is>
      </c>
      <c r="D326" s="1" t="n">
        <v>45764</v>
      </c>
      <c r="E326" s="1" t="n">
        <v>46218</v>
      </c>
      <c r="F326" t="inlineStr">
        <is>
          <t>KRONOBERGS LÄN</t>
        </is>
      </c>
      <c r="G326" t="inlineStr">
        <is>
          <t>UPPVIDINGE</t>
        </is>
      </c>
      <c r="H326" t="inlineStr">
        <is>
          <t>Sveaskog</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5024-2022</t>
        </is>
      </c>
      <c r="B327" t="inlineStr">
        <is>
          <t>avverkningsanmälan</t>
        </is>
      </c>
      <c r="C327" t="inlineStr">
        <is>
          <t>Föryngringsavverkning</t>
        </is>
      </c>
      <c r="D327" s="1" t="n">
        <v>44593</v>
      </c>
      <c r="E327" s="1" t="n">
        <v>46218</v>
      </c>
      <c r="F327" t="inlineStr">
        <is>
          <t>KRONOBERGS LÄN</t>
        </is>
      </c>
      <c r="G327" t="inlineStr">
        <is>
          <t>UPPVIDINGE</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43497-2023</t>
        </is>
      </c>
      <c r="B328" t="inlineStr">
        <is>
          <t>avverkningsanmälan</t>
        </is>
      </c>
      <c r="C328" t="inlineStr">
        <is>
          <t>Föryngringsavverkning</t>
        </is>
      </c>
      <c r="D328" s="1" t="n">
        <v>45181</v>
      </c>
      <c r="E328" s="1" t="n">
        <v>46218</v>
      </c>
      <c r="F328" t="inlineStr">
        <is>
          <t>KRONOBERGS LÄN</t>
        </is>
      </c>
      <c r="G328" t="inlineStr">
        <is>
          <t>UPPVIDINGE</t>
        </is>
      </c>
      <c r="H328" t="inlineStr">
        <is>
          <t>Kyrkan</t>
        </is>
      </c>
      <c r="I328" t="n">
        <v>6.1</v>
      </c>
      <c r="J328" t="n">
        <v>0</v>
      </c>
      <c r="K328" t="n">
        <v>0</v>
      </c>
      <c r="L328" t="n">
        <v>0</v>
      </c>
      <c r="M328" t="n">
        <v>0</v>
      </c>
      <c r="N328" t="n">
        <v>0</v>
      </c>
      <c r="O328" t="n">
        <v>0</v>
      </c>
      <c r="P328" t="n">
        <v>0</v>
      </c>
      <c r="Q328" t="n">
        <v>0</v>
      </c>
      <c r="R328" t="n">
        <v>0</v>
      </c>
      <c r="S328" t="n">
        <v>0</v>
      </c>
      <c r="T328" t="n">
        <v>0</v>
      </c>
      <c r="U328" s="2" t="inlineStr"/>
    </row>
    <row r="329" ht="15" customHeight="1">
      <c r="A329" t="inlineStr">
        <is>
          <t>A 64041-2023</t>
        </is>
      </c>
      <c r="B329" t="inlineStr">
        <is>
          <t>avverkningsanmälan</t>
        </is>
      </c>
      <c r="C329" t="inlineStr">
        <is>
          <t>Föryngringsavverkning</t>
        </is>
      </c>
      <c r="D329" s="1" t="n">
        <v>45279</v>
      </c>
      <c r="E329" s="1" t="n">
        <v>46218</v>
      </c>
      <c r="F329" t="inlineStr">
        <is>
          <t>KRONOBERGS LÄN</t>
        </is>
      </c>
      <c r="G329" t="inlineStr">
        <is>
          <t>UPPVIDINGE</t>
        </is>
      </c>
      <c r="I329" t="n">
        <v>2.6</v>
      </c>
      <c r="J329" t="n">
        <v>0</v>
      </c>
      <c r="K329" t="n">
        <v>0</v>
      </c>
      <c r="L329" t="n">
        <v>0</v>
      </c>
      <c r="M329" t="n">
        <v>0</v>
      </c>
      <c r="N329" t="n">
        <v>0</v>
      </c>
      <c r="O329" t="n">
        <v>0</v>
      </c>
      <c r="P329" t="n">
        <v>0</v>
      </c>
      <c r="Q329" t="n">
        <v>0</v>
      </c>
      <c r="R329" t="n">
        <v>0</v>
      </c>
      <c r="S329" t="n">
        <v>0</v>
      </c>
      <c r="T329" t="n">
        <v>0</v>
      </c>
      <c r="U329" s="2" t="inlineStr"/>
    </row>
    <row r="330" ht="15" customHeight="1">
      <c r="A330" t="inlineStr">
        <is>
          <t>A 36603-2023</t>
        </is>
      </c>
      <c r="B330" t="inlineStr">
        <is>
          <t>avverkningsanmälan</t>
        </is>
      </c>
      <c r="C330" t="inlineStr">
        <is>
          <t>Avverkning för annat ändamål</t>
        </is>
      </c>
      <c r="D330" s="1" t="n">
        <v>45153</v>
      </c>
      <c r="E330" s="1" t="n">
        <v>46218</v>
      </c>
      <c r="F330" t="inlineStr">
        <is>
          <t>KRONOBERGS LÄN</t>
        </is>
      </c>
      <c r="G330" t="inlineStr">
        <is>
          <t>UPPVIDINGE</t>
        </is>
      </c>
      <c r="I330" t="n">
        <v>0.4</v>
      </c>
      <c r="J330" t="n">
        <v>0</v>
      </c>
      <c r="K330" t="n">
        <v>0</v>
      </c>
      <c r="L330" t="n">
        <v>0</v>
      </c>
      <c r="M330" t="n">
        <v>0</v>
      </c>
      <c r="N330" t="n">
        <v>0</v>
      </c>
      <c r="O330" t="n">
        <v>0</v>
      </c>
      <c r="P330" t="n">
        <v>0</v>
      </c>
      <c r="Q330" t="n">
        <v>0</v>
      </c>
      <c r="R330" t="n">
        <v>0</v>
      </c>
      <c r="S330" t="n">
        <v>0</v>
      </c>
      <c r="T330" t="n">
        <v>0</v>
      </c>
      <c r="U330" s="2" t="inlineStr"/>
    </row>
    <row r="331" ht="15" customHeight="1">
      <c r="A331" t="inlineStr">
        <is>
          <t>A 57000-2023</t>
        </is>
      </c>
      <c r="B331" t="inlineStr">
        <is>
          <t>avverkningsanmälan</t>
        </is>
      </c>
      <c r="C331" t="inlineStr">
        <is>
          <t>Föryngringsavverkning</t>
        </is>
      </c>
      <c r="D331" s="1" t="n">
        <v>45244</v>
      </c>
      <c r="E331" s="1" t="n">
        <v>46218</v>
      </c>
      <c r="F331" t="inlineStr">
        <is>
          <t>KRONOBERGS LÄN</t>
        </is>
      </c>
      <c r="G331" t="inlineStr">
        <is>
          <t>UPPVIDINGE</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36870-2023</t>
        </is>
      </c>
      <c r="B332" t="inlineStr">
        <is>
          <t>avverkningsanmälan</t>
        </is>
      </c>
      <c r="C332" t="inlineStr">
        <is>
          <t>Föryngringsavverkning</t>
        </is>
      </c>
      <c r="D332" s="1" t="n">
        <v>45154</v>
      </c>
      <c r="E332" s="1" t="n">
        <v>46218</v>
      </c>
      <c r="F332" t="inlineStr">
        <is>
          <t>KRONOBERGS LÄN</t>
        </is>
      </c>
      <c r="G332" t="inlineStr">
        <is>
          <t>UPPVIDINGE</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31765-2023</t>
        </is>
      </c>
      <c r="B333" t="inlineStr">
        <is>
          <t>avverkningsanmälan</t>
        </is>
      </c>
      <c r="C333" t="inlineStr">
        <is>
          <t>Föryngringsavverkning</t>
        </is>
      </c>
      <c r="D333" s="1" t="n">
        <v>45118</v>
      </c>
      <c r="E333" s="1" t="n">
        <v>46218</v>
      </c>
      <c r="F333" t="inlineStr">
        <is>
          <t>KRONOBERGS LÄN</t>
        </is>
      </c>
      <c r="G333" t="inlineStr">
        <is>
          <t>UPPVIDINGE</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48399-2025</t>
        </is>
      </c>
      <c r="B334" t="inlineStr">
        <is>
          <t>avverkningsanmälan</t>
        </is>
      </c>
      <c r="C334" t="inlineStr">
        <is>
          <t>Föryngringsavverkning</t>
        </is>
      </c>
      <c r="D334" s="1" t="n">
        <v>45934</v>
      </c>
      <c r="E334" s="1" t="n">
        <v>46218</v>
      </c>
      <c r="F334" t="inlineStr">
        <is>
          <t>KRONOBERGS LÄN</t>
        </is>
      </c>
      <c r="G334" t="inlineStr">
        <is>
          <t>UPPVIDINGE</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48400-2025</t>
        </is>
      </c>
      <c r="B335" t="inlineStr">
        <is>
          <t>avverkningsanmälan</t>
        </is>
      </c>
      <c r="C335" t="inlineStr">
        <is>
          <t>Föryngringsavverkning</t>
        </is>
      </c>
      <c r="D335" s="1" t="n">
        <v>45934</v>
      </c>
      <c r="E335" s="1" t="n">
        <v>46218</v>
      </c>
      <c r="F335" t="inlineStr">
        <is>
          <t>KRONOBERGS LÄN</t>
        </is>
      </c>
      <c r="G335" t="inlineStr">
        <is>
          <t>UPPVIDINGE</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48397-2025</t>
        </is>
      </c>
      <c r="B336" t="inlineStr">
        <is>
          <t>avverkningsanmälan</t>
        </is>
      </c>
      <c r="C336" t="inlineStr">
        <is>
          <t>Föryngringsavverkning</t>
        </is>
      </c>
      <c r="D336" s="1" t="n">
        <v>45934</v>
      </c>
      <c r="E336" s="1" t="n">
        <v>46218</v>
      </c>
      <c r="F336" t="inlineStr">
        <is>
          <t>KRONOBERGS LÄN</t>
        </is>
      </c>
      <c r="G336" t="inlineStr">
        <is>
          <t>UPPVIDINGE</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12183-2023</t>
        </is>
      </c>
      <c r="B337" t="inlineStr">
        <is>
          <t>avverkningsanmälan</t>
        </is>
      </c>
      <c r="C337" t="inlineStr">
        <is>
          <t>Föryngringsavverkning</t>
        </is>
      </c>
      <c r="D337" s="1" t="n">
        <v>44998</v>
      </c>
      <c r="E337" s="1" t="n">
        <v>46218</v>
      </c>
      <c r="F337" t="inlineStr">
        <is>
          <t>KRONOBERGS LÄN</t>
        </is>
      </c>
      <c r="G337" t="inlineStr">
        <is>
          <t>UPPVIDINGE</t>
        </is>
      </c>
      <c r="I337" t="n">
        <v>2.3</v>
      </c>
      <c r="J337" t="n">
        <v>0</v>
      </c>
      <c r="K337" t="n">
        <v>0</v>
      </c>
      <c r="L337" t="n">
        <v>0</v>
      </c>
      <c r="M337" t="n">
        <v>0</v>
      </c>
      <c r="N337" t="n">
        <v>0</v>
      </c>
      <c r="O337" t="n">
        <v>0</v>
      </c>
      <c r="P337" t="n">
        <v>0</v>
      </c>
      <c r="Q337" t="n">
        <v>0</v>
      </c>
      <c r="R337" t="n">
        <v>0</v>
      </c>
      <c r="S337" t="n">
        <v>0</v>
      </c>
      <c r="T337" t="n">
        <v>0</v>
      </c>
      <c r="U337" s="2" t="inlineStr"/>
      <c r="X337">
        <f>HYPERLINK("https://klasma.github.io/Logging_0760/knärot/A 12183-2023 karta knärot.png", "A 12183-2023")</f>
        <v/>
      </c>
      <c r="Y337">
        <f>HYPERLINK("https://klasma.github.io/Logging_0760/klagomål/A 12183-2023 FSC-klagomål.docx", "A 12183-2023")</f>
        <v/>
      </c>
      <c r="Z337">
        <f>HYPERLINK("https://klasma.github.io/Logging_0760/klagomålsmail/A 12183-2023 FSC-klagomål mail.docx", "A 12183-2023")</f>
        <v/>
      </c>
      <c r="AA337">
        <f>HYPERLINK("https://klasma.github.io/Logging_0760/tillsyn/A 12183-2023 tillsynsbegäran.docx", "A 12183-2023")</f>
        <v/>
      </c>
      <c r="AB337">
        <f>HYPERLINK("https://klasma.github.io/Logging_0760/tillsynsmail/A 12183-2023 tillsynsbegäran mail.docx", "A 12183-2023")</f>
        <v/>
      </c>
    </row>
    <row r="338" ht="15" customHeight="1">
      <c r="A338" t="inlineStr">
        <is>
          <t>A 56038-2023</t>
        </is>
      </c>
      <c r="B338" t="inlineStr">
        <is>
          <t>avverkningsanmälan</t>
        </is>
      </c>
      <c r="C338" t="inlineStr">
        <is>
          <t>Föryngringsavverkning</t>
        </is>
      </c>
      <c r="D338" s="1" t="n">
        <v>45233</v>
      </c>
      <c r="E338" s="1" t="n">
        <v>46218</v>
      </c>
      <c r="F338" t="inlineStr">
        <is>
          <t>KRONOBERGS LÄN</t>
        </is>
      </c>
      <c r="G338" t="inlineStr">
        <is>
          <t>UPPVIDINGE</t>
        </is>
      </c>
      <c r="I338" t="n">
        <v>4.3</v>
      </c>
      <c r="J338" t="n">
        <v>0</v>
      </c>
      <c r="K338" t="n">
        <v>0</v>
      </c>
      <c r="L338" t="n">
        <v>0</v>
      </c>
      <c r="M338" t="n">
        <v>0</v>
      </c>
      <c r="N338" t="n">
        <v>0</v>
      </c>
      <c r="O338" t="n">
        <v>0</v>
      </c>
      <c r="P338" t="n">
        <v>0</v>
      </c>
      <c r="Q338" t="n">
        <v>0</v>
      </c>
      <c r="R338" t="n">
        <v>0</v>
      </c>
      <c r="S338" t="n">
        <v>0</v>
      </c>
      <c r="T338" t="n">
        <v>0</v>
      </c>
      <c r="U338" s="2" t="inlineStr"/>
    </row>
    <row r="339" ht="15" customHeight="1">
      <c r="A339" t="inlineStr">
        <is>
          <t>A 40164-2023</t>
        </is>
      </c>
      <c r="B339" t="inlineStr">
        <is>
          <t>avverkningsanmälan</t>
        </is>
      </c>
      <c r="C339" t="inlineStr">
        <is>
          <t>Föryngringsavverkning</t>
        </is>
      </c>
      <c r="D339" s="1" t="n">
        <v>45169</v>
      </c>
      <c r="E339" s="1" t="n">
        <v>46218</v>
      </c>
      <c r="F339" t="inlineStr">
        <is>
          <t>KRONOBERGS LÄN</t>
        </is>
      </c>
      <c r="G339" t="inlineStr">
        <is>
          <t>UPPVIDINGE</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67714-2021</t>
        </is>
      </c>
      <c r="B340" t="inlineStr">
        <is>
          <t>avverkningsanmälan</t>
        </is>
      </c>
      <c r="C340" t="inlineStr">
        <is>
          <t>Föryngringsavverkning</t>
        </is>
      </c>
      <c r="D340" s="1" t="n">
        <v>44524</v>
      </c>
      <c r="E340" s="1" t="n">
        <v>46218</v>
      </c>
      <c r="F340" t="inlineStr">
        <is>
          <t>KRONOBERGS LÄN</t>
        </is>
      </c>
      <c r="G340" t="inlineStr">
        <is>
          <t>UPPVIDINGE</t>
        </is>
      </c>
      <c r="H340" t="inlineStr">
        <is>
          <t>Kyrkan</t>
        </is>
      </c>
      <c r="I340" t="n">
        <v>18.8</v>
      </c>
      <c r="J340" t="n">
        <v>0</v>
      </c>
      <c r="K340" t="n">
        <v>0</v>
      </c>
      <c r="L340" t="n">
        <v>0</v>
      </c>
      <c r="M340" t="n">
        <v>0</v>
      </c>
      <c r="N340" t="n">
        <v>0</v>
      </c>
      <c r="O340" t="n">
        <v>0</v>
      </c>
      <c r="P340" t="n">
        <v>0</v>
      </c>
      <c r="Q340" t="n">
        <v>0</v>
      </c>
      <c r="R340" t="n">
        <v>0</v>
      </c>
      <c r="S340" t="n">
        <v>0</v>
      </c>
      <c r="T340" t="n">
        <v>0</v>
      </c>
      <c r="U340" s="2" t="inlineStr"/>
    </row>
    <row r="341" ht="15" customHeight="1">
      <c r="A341" t="inlineStr">
        <is>
          <t>A 10289-2025</t>
        </is>
      </c>
      <c r="B341" t="inlineStr">
        <is>
          <t>avverkningsanmälan</t>
        </is>
      </c>
      <c r="C341" t="inlineStr">
        <is>
          <t>Föryngringsavverkning</t>
        </is>
      </c>
      <c r="D341" s="1" t="n">
        <v>45720</v>
      </c>
      <c r="E341" s="1" t="n">
        <v>46218</v>
      </c>
      <c r="F341" t="inlineStr">
        <is>
          <t>KRONOBERGS LÄN</t>
        </is>
      </c>
      <c r="G341" t="inlineStr">
        <is>
          <t>UPPVIDINGE</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63204-2023</t>
        </is>
      </c>
      <c r="B342" t="inlineStr">
        <is>
          <t>avverkningsanmälan</t>
        </is>
      </c>
      <c r="C342" t="inlineStr">
        <is>
          <t>Föryngringsavverkning</t>
        </is>
      </c>
      <c r="D342" s="1" t="n">
        <v>45273</v>
      </c>
      <c r="E342" s="1" t="n">
        <v>46218</v>
      </c>
      <c r="F342" t="inlineStr">
        <is>
          <t>KRONOBERGS LÄN</t>
        </is>
      </c>
      <c r="G342" t="inlineStr">
        <is>
          <t>UPPVIDINGE</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63211-2023</t>
        </is>
      </c>
      <c r="B343" t="inlineStr">
        <is>
          <t>avverkningsanmälan</t>
        </is>
      </c>
      <c r="C343" t="inlineStr">
        <is>
          <t>Föryngringsavverkning</t>
        </is>
      </c>
      <c r="D343" s="1" t="n">
        <v>45273</v>
      </c>
      <c r="E343" s="1" t="n">
        <v>46218</v>
      </c>
      <c r="F343" t="inlineStr">
        <is>
          <t>KRONOBERGS LÄN</t>
        </is>
      </c>
      <c r="G343" t="inlineStr">
        <is>
          <t>UPPVIDINGE</t>
        </is>
      </c>
      <c r="I343" t="n">
        <v>2.1</v>
      </c>
      <c r="J343" t="n">
        <v>0</v>
      </c>
      <c r="K343" t="n">
        <v>0</v>
      </c>
      <c r="L343" t="n">
        <v>0</v>
      </c>
      <c r="M343" t="n">
        <v>0</v>
      </c>
      <c r="N343" t="n">
        <v>0</v>
      </c>
      <c r="O343" t="n">
        <v>0</v>
      </c>
      <c r="P343" t="n">
        <v>0</v>
      </c>
      <c r="Q343" t="n">
        <v>0</v>
      </c>
      <c r="R343" t="n">
        <v>0</v>
      </c>
      <c r="S343" t="n">
        <v>0</v>
      </c>
      <c r="T343" t="n">
        <v>0</v>
      </c>
      <c r="U343" s="2" t="inlineStr"/>
    </row>
    <row r="344" ht="15" customHeight="1">
      <c r="A344" t="inlineStr">
        <is>
          <t>A 55327-2022</t>
        </is>
      </c>
      <c r="B344" t="inlineStr">
        <is>
          <t>avverkningsanmälan</t>
        </is>
      </c>
      <c r="C344" t="inlineStr">
        <is>
          <t>Föryngringsavverkning</t>
        </is>
      </c>
      <c r="D344" s="1" t="n">
        <v>44887</v>
      </c>
      <c r="E344" s="1" t="n">
        <v>46218</v>
      </c>
      <c r="F344" t="inlineStr">
        <is>
          <t>KRONOBERGS LÄN</t>
        </is>
      </c>
      <c r="G344" t="inlineStr">
        <is>
          <t>UPPVIDINGE</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24858-2023</t>
        </is>
      </c>
      <c r="B345" t="inlineStr">
        <is>
          <t>avverkningsanmälan</t>
        </is>
      </c>
      <c r="C345" t="inlineStr">
        <is>
          <t>Föryngringsavverkning</t>
        </is>
      </c>
      <c r="D345" s="1" t="n">
        <v>45085</v>
      </c>
      <c r="E345" s="1" t="n">
        <v>46218</v>
      </c>
      <c r="F345" t="inlineStr">
        <is>
          <t>KRONOBERGS LÄN</t>
        </is>
      </c>
      <c r="G345" t="inlineStr">
        <is>
          <t>UPPVIDINGE</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38777-2021</t>
        </is>
      </c>
      <c r="B346" t="inlineStr">
        <is>
          <t>avverkningsanmälan</t>
        </is>
      </c>
      <c r="C346" t="inlineStr">
        <is>
          <t>Föryngringsavverkning</t>
        </is>
      </c>
      <c r="D346" s="1" t="n">
        <v>44410</v>
      </c>
      <c r="E346" s="1" t="n">
        <v>46218</v>
      </c>
      <c r="F346" t="inlineStr">
        <is>
          <t>KRONOBERGS LÄN</t>
        </is>
      </c>
      <c r="G346" t="inlineStr">
        <is>
          <t>UPPVIDINGE</t>
        </is>
      </c>
      <c r="I346" t="n">
        <v>3.3</v>
      </c>
      <c r="J346" t="n">
        <v>0</v>
      </c>
      <c r="K346" t="n">
        <v>0</v>
      </c>
      <c r="L346" t="n">
        <v>0</v>
      </c>
      <c r="M346" t="n">
        <v>0</v>
      </c>
      <c r="N346" t="n">
        <v>0</v>
      </c>
      <c r="O346" t="n">
        <v>0</v>
      </c>
      <c r="P346" t="n">
        <v>0</v>
      </c>
      <c r="Q346" t="n">
        <v>0</v>
      </c>
      <c r="R346" t="n">
        <v>0</v>
      </c>
      <c r="S346" t="n">
        <v>0</v>
      </c>
      <c r="T346" t="n">
        <v>0</v>
      </c>
      <c r="U346" s="2" t="inlineStr"/>
    </row>
    <row r="347" ht="15" customHeight="1">
      <c r="A347" t="inlineStr">
        <is>
          <t>A 20538-2023</t>
        </is>
      </c>
      <c r="B347" t="inlineStr">
        <is>
          <t>avverkningsanmälan</t>
        </is>
      </c>
      <c r="C347" t="inlineStr">
        <is>
          <t>Föryngringsavverkning</t>
        </is>
      </c>
      <c r="D347" s="1" t="n">
        <v>45057</v>
      </c>
      <c r="E347" s="1" t="n">
        <v>46218</v>
      </c>
      <c r="F347" t="inlineStr">
        <is>
          <t>KRONOBERGS LÄN</t>
        </is>
      </c>
      <c r="G347" t="inlineStr">
        <is>
          <t>UPPVIDINGE</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54366-2022</t>
        </is>
      </c>
      <c r="B348" t="inlineStr">
        <is>
          <t>avverkningsanmälan</t>
        </is>
      </c>
      <c r="C348" t="inlineStr">
        <is>
          <t>Föryngringsavverkning</t>
        </is>
      </c>
      <c r="D348" s="1" t="n">
        <v>44882</v>
      </c>
      <c r="E348" s="1" t="n">
        <v>46218</v>
      </c>
      <c r="F348" t="inlineStr">
        <is>
          <t>KRONOBERGS LÄN</t>
        </is>
      </c>
      <c r="G348" t="inlineStr">
        <is>
          <t>UPPVIDINGE</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16351-2024</t>
        </is>
      </c>
      <c r="B349" t="inlineStr">
        <is>
          <t>avverkningsanmälan</t>
        </is>
      </c>
      <c r="C349" t="inlineStr">
        <is>
          <t>Föryngringsavverkning</t>
        </is>
      </c>
      <c r="D349" s="1" t="n">
        <v>45407</v>
      </c>
      <c r="E349" s="1" t="n">
        <v>46218</v>
      </c>
      <c r="F349" t="inlineStr">
        <is>
          <t>KRONOBERGS LÄN</t>
        </is>
      </c>
      <c r="G349" t="inlineStr">
        <is>
          <t>UPPVIDINGE</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19072-2024</t>
        </is>
      </c>
      <c r="B350" t="inlineStr">
        <is>
          <t>avverkningsanmälan</t>
        </is>
      </c>
      <c r="C350" t="inlineStr">
        <is>
          <t>Föryngringsavverkning</t>
        </is>
      </c>
      <c r="D350" s="1" t="n">
        <v>45427</v>
      </c>
      <c r="E350" s="1" t="n">
        <v>46218</v>
      </c>
      <c r="F350" t="inlineStr">
        <is>
          <t>KRONOBERGS LÄN</t>
        </is>
      </c>
      <c r="G350" t="inlineStr">
        <is>
          <t>UPPVIDINGE</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36913-2023</t>
        </is>
      </c>
      <c r="B351" t="inlineStr">
        <is>
          <t>avverkningsanmälan</t>
        </is>
      </c>
      <c r="C351" t="inlineStr">
        <is>
          <t>Föryngringsavverkning</t>
        </is>
      </c>
      <c r="D351" s="1" t="n">
        <v>45154</v>
      </c>
      <c r="E351" s="1" t="n">
        <v>46218</v>
      </c>
      <c r="F351" t="inlineStr">
        <is>
          <t>KRONOBERGS LÄN</t>
        </is>
      </c>
      <c r="G351" t="inlineStr">
        <is>
          <t>UPPVIDINGE</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49852-2025</t>
        </is>
      </c>
      <c r="B352" t="inlineStr">
        <is>
          <t>avverkningsanmälan</t>
        </is>
      </c>
      <c r="C352" t="inlineStr">
        <is>
          <t>Föryngringsavverkning</t>
        </is>
      </c>
      <c r="D352" s="1" t="n">
        <v>45940</v>
      </c>
      <c r="E352" s="1" t="n">
        <v>46218</v>
      </c>
      <c r="F352" t="inlineStr">
        <is>
          <t>KRONOBERGS LÄN</t>
        </is>
      </c>
      <c r="G352" t="inlineStr">
        <is>
          <t>UPPVIDINGE</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35147-2024</t>
        </is>
      </c>
      <c r="B353" t="inlineStr">
        <is>
          <t>avverkningsanmälan</t>
        </is>
      </c>
      <c r="C353" t="inlineStr">
        <is>
          <t>Föryngringsavverkning</t>
        </is>
      </c>
      <c r="D353" s="1" t="n">
        <v>45530</v>
      </c>
      <c r="E353" s="1" t="n">
        <v>46218</v>
      </c>
      <c r="F353" t="inlineStr">
        <is>
          <t>KRONOBERGS LÄN</t>
        </is>
      </c>
      <c r="G353" t="inlineStr">
        <is>
          <t>UPPVIDINGE</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57127-2023</t>
        </is>
      </c>
      <c r="B354" t="inlineStr">
        <is>
          <t>avverkningsanmälan</t>
        </is>
      </c>
      <c r="C354" t="inlineStr">
        <is>
          <t>Föryngringsavverkning</t>
        </is>
      </c>
      <c r="D354" s="1" t="n">
        <v>45245</v>
      </c>
      <c r="E354" s="1" t="n">
        <v>46218</v>
      </c>
      <c r="F354" t="inlineStr">
        <is>
          <t>KRONOBERGS LÄN</t>
        </is>
      </c>
      <c r="G354" t="inlineStr">
        <is>
          <t>UPPVIDINGE</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36601-2023</t>
        </is>
      </c>
      <c r="B355" t="inlineStr">
        <is>
          <t>avverkningsanmälan</t>
        </is>
      </c>
      <c r="C355" t="inlineStr">
        <is>
          <t>Föryngringsavverkning</t>
        </is>
      </c>
      <c r="D355" s="1" t="n">
        <v>45153</v>
      </c>
      <c r="E355" s="1" t="n">
        <v>46218</v>
      </c>
      <c r="F355" t="inlineStr">
        <is>
          <t>KRONOBERGS LÄN</t>
        </is>
      </c>
      <c r="G355" t="inlineStr">
        <is>
          <t>UPPVIDINGE</t>
        </is>
      </c>
      <c r="I355" t="n">
        <v>0.1</v>
      </c>
      <c r="J355" t="n">
        <v>0</v>
      </c>
      <c r="K355" t="n">
        <v>0</v>
      </c>
      <c r="L355" t="n">
        <v>0</v>
      </c>
      <c r="M355" t="n">
        <v>0</v>
      </c>
      <c r="N355" t="n">
        <v>0</v>
      </c>
      <c r="O355" t="n">
        <v>0</v>
      </c>
      <c r="P355" t="n">
        <v>0</v>
      </c>
      <c r="Q355" t="n">
        <v>0</v>
      </c>
      <c r="R355" t="n">
        <v>0</v>
      </c>
      <c r="S355" t="n">
        <v>0</v>
      </c>
      <c r="T355" t="n">
        <v>0</v>
      </c>
      <c r="U355" s="2" t="inlineStr"/>
    </row>
    <row r="356" ht="15" customHeight="1">
      <c r="A356" t="inlineStr">
        <is>
          <t>A 50520-2025</t>
        </is>
      </c>
      <c r="B356" t="inlineStr">
        <is>
          <t>avverkningsanmälan</t>
        </is>
      </c>
      <c r="C356" t="inlineStr">
        <is>
          <t>Föryngringsavverkning</t>
        </is>
      </c>
      <c r="D356" s="1" t="n">
        <v>45945</v>
      </c>
      <c r="E356" s="1" t="n">
        <v>46218</v>
      </c>
      <c r="F356" t="inlineStr">
        <is>
          <t>KRONOBERGS LÄN</t>
        </is>
      </c>
      <c r="G356" t="inlineStr">
        <is>
          <t>UPPVIDINGE</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8359-2022</t>
        </is>
      </c>
      <c r="B357" t="inlineStr">
        <is>
          <t>avverkningsanmälan</t>
        </is>
      </c>
      <c r="C357" t="inlineStr">
        <is>
          <t>Föryngringsavverkning</t>
        </is>
      </c>
      <c r="D357" s="1" t="n">
        <v>44610</v>
      </c>
      <c r="E357" s="1" t="n">
        <v>46218</v>
      </c>
      <c r="F357" t="inlineStr">
        <is>
          <t>KRONOBERGS LÄN</t>
        </is>
      </c>
      <c r="G357" t="inlineStr">
        <is>
          <t>UPPVIDINGE</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61843-2024</t>
        </is>
      </c>
      <c r="B358" t="inlineStr">
        <is>
          <t>avverkningsanmälan</t>
        </is>
      </c>
      <c r="C358" t="inlineStr">
        <is>
          <t>Föryngringsavverkning</t>
        </is>
      </c>
      <c r="D358" s="1" t="n">
        <v>45649</v>
      </c>
      <c r="E358" s="1" t="n">
        <v>46218</v>
      </c>
      <c r="F358" t="inlineStr">
        <is>
          <t>KRONOBERGS LÄN</t>
        </is>
      </c>
      <c r="G358" t="inlineStr">
        <is>
          <t>UPPVIDINGE</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12339-2023</t>
        </is>
      </c>
      <c r="B359" t="inlineStr">
        <is>
          <t>avverkningsanmälan</t>
        </is>
      </c>
      <c r="C359" t="inlineStr">
        <is>
          <t>Föryngringsavverkning</t>
        </is>
      </c>
      <c r="D359" s="1" t="n">
        <v>44998</v>
      </c>
      <c r="E359" s="1" t="n">
        <v>46218</v>
      </c>
      <c r="F359" t="inlineStr">
        <is>
          <t>KRONOBERGS LÄN</t>
        </is>
      </c>
      <c r="G359" t="inlineStr">
        <is>
          <t>UPPVIDINGE</t>
        </is>
      </c>
      <c r="H359" t="inlineStr">
        <is>
          <t>Kyrkan</t>
        </is>
      </c>
      <c r="I359" t="n">
        <v>4.3</v>
      </c>
      <c r="J359" t="n">
        <v>0</v>
      </c>
      <c r="K359" t="n">
        <v>0</v>
      </c>
      <c r="L359" t="n">
        <v>0</v>
      </c>
      <c r="M359" t="n">
        <v>0</v>
      </c>
      <c r="N359" t="n">
        <v>0</v>
      </c>
      <c r="O359" t="n">
        <v>0</v>
      </c>
      <c r="P359" t="n">
        <v>0</v>
      </c>
      <c r="Q359" t="n">
        <v>0</v>
      </c>
      <c r="R359" t="n">
        <v>0</v>
      </c>
      <c r="S359" t="n">
        <v>0</v>
      </c>
      <c r="T359" t="n">
        <v>0</v>
      </c>
      <c r="U359" s="2" t="inlineStr"/>
    </row>
    <row r="360" ht="15" customHeight="1">
      <c r="A360" t="inlineStr">
        <is>
          <t>A 14500-2023</t>
        </is>
      </c>
      <c r="B360" t="inlineStr">
        <is>
          <t>avverkningsanmälan</t>
        </is>
      </c>
      <c r="C360" t="inlineStr">
        <is>
          <t>Föryngringsavverkning</t>
        </is>
      </c>
      <c r="D360" s="1" t="n">
        <v>45012</v>
      </c>
      <c r="E360" s="1" t="n">
        <v>46218</v>
      </c>
      <c r="F360" t="inlineStr">
        <is>
          <t>KRONOBERGS LÄN</t>
        </is>
      </c>
      <c r="G360" t="inlineStr">
        <is>
          <t>UPPVIDINGE</t>
        </is>
      </c>
      <c r="I360" t="n">
        <v>5.6</v>
      </c>
      <c r="J360" t="n">
        <v>0</v>
      </c>
      <c r="K360" t="n">
        <v>0</v>
      </c>
      <c r="L360" t="n">
        <v>0</v>
      </c>
      <c r="M360" t="n">
        <v>0</v>
      </c>
      <c r="N360" t="n">
        <v>0</v>
      </c>
      <c r="O360" t="n">
        <v>0</v>
      </c>
      <c r="P360" t="n">
        <v>0</v>
      </c>
      <c r="Q360" t="n">
        <v>0</v>
      </c>
      <c r="R360" t="n">
        <v>0</v>
      </c>
      <c r="S360" t="n">
        <v>0</v>
      </c>
      <c r="T360" t="n">
        <v>0</v>
      </c>
      <c r="U360" s="2" t="inlineStr"/>
    </row>
    <row r="361" ht="15" customHeight="1">
      <c r="A361" t="inlineStr">
        <is>
          <t>A 9923-2023</t>
        </is>
      </c>
      <c r="B361" t="inlineStr">
        <is>
          <t>avverkningsanmälan</t>
        </is>
      </c>
      <c r="C361" t="inlineStr">
        <is>
          <t>Föryngringsavverkning</t>
        </is>
      </c>
      <c r="D361" s="1" t="n">
        <v>44985</v>
      </c>
      <c r="E361" s="1" t="n">
        <v>46218</v>
      </c>
      <c r="F361" t="inlineStr">
        <is>
          <t>KRONOBERGS LÄN</t>
        </is>
      </c>
      <c r="G361" t="inlineStr">
        <is>
          <t>UPPVIDINGE</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63209-2023</t>
        </is>
      </c>
      <c r="B362" t="inlineStr">
        <is>
          <t>avverkningsanmälan</t>
        </is>
      </c>
      <c r="C362" t="inlineStr">
        <is>
          <t>Föryngringsavverkning</t>
        </is>
      </c>
      <c r="D362" s="1" t="n">
        <v>45273</v>
      </c>
      <c r="E362" s="1" t="n">
        <v>46218</v>
      </c>
      <c r="F362" t="inlineStr">
        <is>
          <t>KRONOBERGS LÄN</t>
        </is>
      </c>
      <c r="G362" t="inlineStr">
        <is>
          <t>UPPVIDINGE</t>
        </is>
      </c>
      <c r="I362" t="n">
        <v>5.5</v>
      </c>
      <c r="J362" t="n">
        <v>0</v>
      </c>
      <c r="K362" t="n">
        <v>0</v>
      </c>
      <c r="L362" t="n">
        <v>0</v>
      </c>
      <c r="M362" t="n">
        <v>0</v>
      </c>
      <c r="N362" t="n">
        <v>0</v>
      </c>
      <c r="O362" t="n">
        <v>0</v>
      </c>
      <c r="P362" t="n">
        <v>0</v>
      </c>
      <c r="Q362" t="n">
        <v>0</v>
      </c>
      <c r="R362" t="n">
        <v>0</v>
      </c>
      <c r="S362" t="n">
        <v>0</v>
      </c>
      <c r="T362" t="n">
        <v>0</v>
      </c>
      <c r="U362" s="2" t="inlineStr"/>
    </row>
    <row r="363" ht="15" customHeight="1">
      <c r="A363" t="inlineStr">
        <is>
          <t>A 60730-2024</t>
        </is>
      </c>
      <c r="B363" t="inlineStr">
        <is>
          <t>avverkningsanmälan</t>
        </is>
      </c>
      <c r="C363" t="inlineStr">
        <is>
          <t>Föryngringsavverkning</t>
        </is>
      </c>
      <c r="D363" s="1" t="n">
        <v>45642</v>
      </c>
      <c r="E363" s="1" t="n">
        <v>46218</v>
      </c>
      <c r="F363" t="inlineStr">
        <is>
          <t>KRONOBERGS LÄN</t>
        </is>
      </c>
      <c r="G363" t="inlineStr">
        <is>
          <t>UPPVIDINGE</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4217-2024</t>
        </is>
      </c>
      <c r="B364" t="inlineStr">
        <is>
          <t>avverkningsanmälan</t>
        </is>
      </c>
      <c r="C364" t="inlineStr">
        <is>
          <t>Föryngringsavverkning</t>
        </is>
      </c>
      <c r="D364" s="1" t="n">
        <v>45324</v>
      </c>
      <c r="E364" s="1" t="n">
        <v>46218</v>
      </c>
      <c r="F364" t="inlineStr">
        <is>
          <t>KRONOBERGS LÄN</t>
        </is>
      </c>
      <c r="G364" t="inlineStr">
        <is>
          <t>UPPVIDINGE</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3604-2023</t>
        </is>
      </c>
      <c r="B365" t="inlineStr">
        <is>
          <t>avverkningsanmälan</t>
        </is>
      </c>
      <c r="C365" t="inlineStr">
        <is>
          <t>Föryngringsavverkning</t>
        </is>
      </c>
      <c r="D365" s="1" t="n">
        <v>44946</v>
      </c>
      <c r="E365" s="1" t="n">
        <v>46218</v>
      </c>
      <c r="F365" t="inlineStr">
        <is>
          <t>KRONOBERGS LÄN</t>
        </is>
      </c>
      <c r="G365" t="inlineStr">
        <is>
          <t>UPPVIDINGE</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24857-2023</t>
        </is>
      </c>
      <c r="B366" t="inlineStr">
        <is>
          <t>avverkningsanmälan</t>
        </is>
      </c>
      <c r="C366" t="inlineStr">
        <is>
          <t>Föryngringsavverkning</t>
        </is>
      </c>
      <c r="D366" s="1" t="n">
        <v>45085</v>
      </c>
      <c r="E366" s="1" t="n">
        <v>46218</v>
      </c>
      <c r="F366" t="inlineStr">
        <is>
          <t>KRONOBERGS LÄN</t>
        </is>
      </c>
      <c r="G366" t="inlineStr">
        <is>
          <t>UPPVIDINGE</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60609-2021</t>
        </is>
      </c>
      <c r="B367" t="inlineStr">
        <is>
          <t>avverkningsanmälan</t>
        </is>
      </c>
      <c r="C367" t="inlineStr">
        <is>
          <t>Föryngringsavverkning</t>
        </is>
      </c>
      <c r="D367" s="1" t="n">
        <v>44496</v>
      </c>
      <c r="E367" s="1" t="n">
        <v>46218</v>
      </c>
      <c r="F367" t="inlineStr">
        <is>
          <t>KRONOBERGS LÄN</t>
        </is>
      </c>
      <c r="G367" t="inlineStr">
        <is>
          <t>UPPVIDINGE</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50186-2024</t>
        </is>
      </c>
      <c r="B368" t="inlineStr">
        <is>
          <t>avverkningsanmälan</t>
        </is>
      </c>
      <c r="C368" t="inlineStr">
        <is>
          <t>Föryngringsavverkning</t>
        </is>
      </c>
      <c r="D368" s="1" t="n">
        <v>45600</v>
      </c>
      <c r="E368" s="1" t="n">
        <v>46218</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10713-2024</t>
        </is>
      </c>
      <c r="B369" t="inlineStr">
        <is>
          <t>avverkningsanmälan</t>
        </is>
      </c>
      <c r="C369" t="inlineStr">
        <is>
          <t>Föryngringsavverkning</t>
        </is>
      </c>
      <c r="D369" s="1" t="n">
        <v>45369</v>
      </c>
      <c r="E369" s="1" t="n">
        <v>46218</v>
      </c>
      <c r="F369" t="inlineStr">
        <is>
          <t>KRONOBERGS LÄN</t>
        </is>
      </c>
      <c r="G369" t="inlineStr">
        <is>
          <t>UPPVIDINGE</t>
        </is>
      </c>
      <c r="I369" t="n">
        <v>5.5</v>
      </c>
      <c r="J369" t="n">
        <v>0</v>
      </c>
      <c r="K369" t="n">
        <v>0</v>
      </c>
      <c r="L369" t="n">
        <v>0</v>
      </c>
      <c r="M369" t="n">
        <v>0</v>
      </c>
      <c r="N369" t="n">
        <v>0</v>
      </c>
      <c r="O369" t="n">
        <v>0</v>
      </c>
      <c r="P369" t="n">
        <v>0</v>
      </c>
      <c r="Q369" t="n">
        <v>0</v>
      </c>
      <c r="R369" t="n">
        <v>0</v>
      </c>
      <c r="S369" t="n">
        <v>0</v>
      </c>
      <c r="T369" t="n">
        <v>0</v>
      </c>
      <c r="U369" s="2" t="inlineStr"/>
    </row>
    <row r="370" ht="15" customHeight="1">
      <c r="A370" t="inlineStr">
        <is>
          <t>A 795-2022</t>
        </is>
      </c>
      <c r="B370" t="inlineStr">
        <is>
          <t>avverkningsanmälan</t>
        </is>
      </c>
      <c r="C370" t="inlineStr">
        <is>
          <t>Föryngringsavverkning</t>
        </is>
      </c>
      <c r="D370" s="1" t="n">
        <v>44566</v>
      </c>
      <c r="E370" s="1" t="n">
        <v>46218</v>
      </c>
      <c r="F370" t="inlineStr">
        <is>
          <t>KRONOBERGS LÄN</t>
        </is>
      </c>
      <c r="G370" t="inlineStr">
        <is>
          <t>UPPVIDINGE</t>
        </is>
      </c>
      <c r="I370" t="n">
        <v>3.3</v>
      </c>
      <c r="J370" t="n">
        <v>0</v>
      </c>
      <c r="K370" t="n">
        <v>0</v>
      </c>
      <c r="L370" t="n">
        <v>0</v>
      </c>
      <c r="M370" t="n">
        <v>0</v>
      </c>
      <c r="N370" t="n">
        <v>0</v>
      </c>
      <c r="O370" t="n">
        <v>0</v>
      </c>
      <c r="P370" t="n">
        <v>0</v>
      </c>
      <c r="Q370" t="n">
        <v>0</v>
      </c>
      <c r="R370" t="n">
        <v>0</v>
      </c>
      <c r="S370" t="n">
        <v>0</v>
      </c>
      <c r="T370" t="n">
        <v>0</v>
      </c>
      <c r="U370" s="2" t="inlineStr"/>
    </row>
    <row r="371" ht="15" customHeight="1">
      <c r="A371" t="inlineStr">
        <is>
          <t>A 50852-2024</t>
        </is>
      </c>
      <c r="B371" t="inlineStr">
        <is>
          <t>avverkningsanmälan</t>
        </is>
      </c>
      <c r="C371" t="inlineStr">
        <is>
          <t>Föryngringsavverkning</t>
        </is>
      </c>
      <c r="D371" s="1" t="n">
        <v>45601</v>
      </c>
      <c r="E371" s="1" t="n">
        <v>46218</v>
      </c>
      <c r="F371" t="inlineStr">
        <is>
          <t>KRONOBERGS LÄN</t>
        </is>
      </c>
      <c r="G371" t="inlineStr">
        <is>
          <t>UPPVIDINGE</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63191-2023</t>
        </is>
      </c>
      <c r="B372" t="inlineStr">
        <is>
          <t>avverkningsanmälan</t>
        </is>
      </c>
      <c r="C372" t="inlineStr">
        <is>
          <t>Föryngringsavverkning</t>
        </is>
      </c>
      <c r="D372" s="1" t="n">
        <v>45273</v>
      </c>
      <c r="E372" s="1" t="n">
        <v>46218</v>
      </c>
      <c r="F372" t="inlineStr">
        <is>
          <t>KRONOBERGS LÄN</t>
        </is>
      </c>
      <c r="G372" t="inlineStr">
        <is>
          <t>UPPVIDINGE</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13875-2024</t>
        </is>
      </c>
      <c r="B373" t="inlineStr">
        <is>
          <t>avverkningsanmälan</t>
        </is>
      </c>
      <c r="C373" t="inlineStr">
        <is>
          <t>Föryngringsavverkning</t>
        </is>
      </c>
      <c r="D373" s="1" t="n">
        <v>45391</v>
      </c>
      <c r="E373" s="1" t="n">
        <v>46218</v>
      </c>
      <c r="F373" t="inlineStr">
        <is>
          <t>KRONOBERGS LÄN</t>
        </is>
      </c>
      <c r="G373" t="inlineStr">
        <is>
          <t>UPPVIDINGE</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32712-2024</t>
        </is>
      </c>
      <c r="B374" t="inlineStr">
        <is>
          <t>avverkningsanmälan</t>
        </is>
      </c>
      <c r="C374" t="inlineStr">
        <is>
          <t>Föryngringsavverkning</t>
        </is>
      </c>
      <c r="D374" s="1" t="n">
        <v>45516</v>
      </c>
      <c r="E374" s="1" t="n">
        <v>46218</v>
      </c>
      <c r="F374" t="inlineStr">
        <is>
          <t>KRONOBERGS LÄN</t>
        </is>
      </c>
      <c r="G374" t="inlineStr">
        <is>
          <t>UPPVIDINGE</t>
        </is>
      </c>
      <c r="I374" t="n">
        <v>4.8</v>
      </c>
      <c r="J374" t="n">
        <v>0</v>
      </c>
      <c r="K374" t="n">
        <v>0</v>
      </c>
      <c r="L374" t="n">
        <v>0</v>
      </c>
      <c r="M374" t="n">
        <v>0</v>
      </c>
      <c r="N374" t="n">
        <v>0</v>
      </c>
      <c r="O374" t="n">
        <v>0</v>
      </c>
      <c r="P374" t="n">
        <v>0</v>
      </c>
      <c r="Q374" t="n">
        <v>0</v>
      </c>
      <c r="R374" t="n">
        <v>0</v>
      </c>
      <c r="S374" t="n">
        <v>0</v>
      </c>
      <c r="T374" t="n">
        <v>0</v>
      </c>
      <c r="U374" s="2" t="inlineStr"/>
    </row>
    <row r="375" ht="15" customHeight="1">
      <c r="A375" t="inlineStr">
        <is>
          <t>A 68387-2021</t>
        </is>
      </c>
      <c r="B375" t="inlineStr">
        <is>
          <t>avverkningsanmälan</t>
        </is>
      </c>
      <c r="C375" t="inlineStr">
        <is>
          <t>Föryngringsavverkning</t>
        </is>
      </c>
      <c r="D375" s="1" t="n">
        <v>44526</v>
      </c>
      <c r="E375" s="1" t="n">
        <v>46218</v>
      </c>
      <c r="F375" t="inlineStr">
        <is>
          <t>KRONOBERGS LÄN</t>
        </is>
      </c>
      <c r="G375" t="inlineStr">
        <is>
          <t>UPPVIDINGE</t>
        </is>
      </c>
      <c r="H375" t="inlineStr">
        <is>
          <t>Kyrkan</t>
        </is>
      </c>
      <c r="I375" t="n">
        <v>10</v>
      </c>
      <c r="J375" t="n">
        <v>0</v>
      </c>
      <c r="K375" t="n">
        <v>0</v>
      </c>
      <c r="L375" t="n">
        <v>0</v>
      </c>
      <c r="M375" t="n">
        <v>0</v>
      </c>
      <c r="N375" t="n">
        <v>0</v>
      </c>
      <c r="O375" t="n">
        <v>0</v>
      </c>
      <c r="P375" t="n">
        <v>0</v>
      </c>
      <c r="Q375" t="n">
        <v>0</v>
      </c>
      <c r="R375" t="n">
        <v>0</v>
      </c>
      <c r="S375" t="n">
        <v>0</v>
      </c>
      <c r="T375" t="n">
        <v>0</v>
      </c>
      <c r="U375" s="2" t="inlineStr"/>
    </row>
    <row r="376" ht="15" customHeight="1">
      <c r="A376" t="inlineStr">
        <is>
          <t>A 50487-2021</t>
        </is>
      </c>
      <c r="B376" t="inlineStr">
        <is>
          <t>avverkningsanmälan</t>
        </is>
      </c>
      <c r="C376" t="inlineStr">
        <is>
          <t>Föryngringsavverkning</t>
        </is>
      </c>
      <c r="D376" s="1" t="n">
        <v>44459</v>
      </c>
      <c r="E376" s="1" t="n">
        <v>46218</v>
      </c>
      <c r="F376" t="inlineStr">
        <is>
          <t>KRONOBERGS LÄN</t>
        </is>
      </c>
      <c r="G376" t="inlineStr">
        <is>
          <t>UPPVIDINGE</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6119-2022</t>
        </is>
      </c>
      <c r="B377" t="inlineStr">
        <is>
          <t>avverkningsanmälan</t>
        </is>
      </c>
      <c r="C377" t="inlineStr">
        <is>
          <t>Föryngringsavverkning</t>
        </is>
      </c>
      <c r="D377" s="1" t="n">
        <v>44599</v>
      </c>
      <c r="E377" s="1" t="n">
        <v>46218</v>
      </c>
      <c r="F377" t="inlineStr">
        <is>
          <t>KRONOBERGS LÄN</t>
        </is>
      </c>
      <c r="G377" t="inlineStr">
        <is>
          <t>UPPVIDINGE</t>
        </is>
      </c>
      <c r="I377" t="n">
        <v>2.6</v>
      </c>
      <c r="J377" t="n">
        <v>0</v>
      </c>
      <c r="K377" t="n">
        <v>0</v>
      </c>
      <c r="L377" t="n">
        <v>0</v>
      </c>
      <c r="M377" t="n">
        <v>0</v>
      </c>
      <c r="N377" t="n">
        <v>0</v>
      </c>
      <c r="O377" t="n">
        <v>0</v>
      </c>
      <c r="P377" t="n">
        <v>0</v>
      </c>
      <c r="Q377" t="n">
        <v>0</v>
      </c>
      <c r="R377" t="n">
        <v>0</v>
      </c>
      <c r="S377" t="n">
        <v>0</v>
      </c>
      <c r="T377" t="n">
        <v>0</v>
      </c>
      <c r="U377" s="2" t="inlineStr"/>
    </row>
    <row r="378" ht="15" customHeight="1">
      <c r="A378" t="inlineStr">
        <is>
          <t>A 30100-2022</t>
        </is>
      </c>
      <c r="B378" t="inlineStr">
        <is>
          <t>avverkningsanmälan</t>
        </is>
      </c>
      <c r="C378" t="inlineStr">
        <is>
          <t>Föryngringsavverkning</t>
        </is>
      </c>
      <c r="D378" s="1" t="n">
        <v>44757</v>
      </c>
      <c r="E378" s="1" t="n">
        <v>46218</v>
      </c>
      <c r="F378" t="inlineStr">
        <is>
          <t>KRONOBERGS LÄN</t>
        </is>
      </c>
      <c r="G378" t="inlineStr">
        <is>
          <t>UPPVIDINGE</t>
        </is>
      </c>
      <c r="H378" t="inlineStr">
        <is>
          <t>Sveaskog</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30107-2022</t>
        </is>
      </c>
      <c r="B379" t="inlineStr">
        <is>
          <t>avverkningsanmälan</t>
        </is>
      </c>
      <c r="C379" t="inlineStr">
        <is>
          <t>Föryngringsavverkning</t>
        </is>
      </c>
      <c r="D379" s="1" t="n">
        <v>44757</v>
      </c>
      <c r="E379" s="1" t="n">
        <v>46218</v>
      </c>
      <c r="F379" t="inlineStr">
        <is>
          <t>KRONOBERGS LÄN</t>
        </is>
      </c>
      <c r="G379" t="inlineStr">
        <is>
          <t>UPPVIDINGE</t>
        </is>
      </c>
      <c r="H379" t="inlineStr">
        <is>
          <t>Sveaskog</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63792-2023</t>
        </is>
      </c>
      <c r="B380" t="inlineStr">
        <is>
          <t>avverkningsanmälan</t>
        </is>
      </c>
      <c r="C380" t="inlineStr">
        <is>
          <t>Föryngringsavverkning</t>
        </is>
      </c>
      <c r="D380" s="1" t="n">
        <v>45278</v>
      </c>
      <c r="E380" s="1" t="n">
        <v>46218</v>
      </c>
      <c r="F380" t="inlineStr">
        <is>
          <t>KRONOBERGS LÄN</t>
        </is>
      </c>
      <c r="G380" t="inlineStr">
        <is>
          <t>UPPVIDINGE</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12894-2023</t>
        </is>
      </c>
      <c r="B381" t="inlineStr">
        <is>
          <t>avverkningsanmälan</t>
        </is>
      </c>
      <c r="C381" t="inlineStr">
        <is>
          <t>Föryngringsavverkning</t>
        </is>
      </c>
      <c r="D381" s="1" t="n">
        <v>45001</v>
      </c>
      <c r="E381" s="1" t="n">
        <v>46218</v>
      </c>
      <c r="F381" t="inlineStr">
        <is>
          <t>KRONOBERGS LÄN</t>
        </is>
      </c>
      <c r="G381" t="inlineStr">
        <is>
          <t>UPPVIDINGE</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7516-2024</t>
        </is>
      </c>
      <c r="B382" t="inlineStr">
        <is>
          <t>avverkningsanmälan</t>
        </is>
      </c>
      <c r="C382" t="inlineStr">
        <is>
          <t>Föryngringsavverkning</t>
        </is>
      </c>
      <c r="D382" s="1" t="n">
        <v>45348</v>
      </c>
      <c r="E382" s="1" t="n">
        <v>46218</v>
      </c>
      <c r="F382" t="inlineStr">
        <is>
          <t>KRONOBERGS LÄN</t>
        </is>
      </c>
      <c r="G382" t="inlineStr">
        <is>
          <t>UPPVIDINGE</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61398-2023</t>
        </is>
      </c>
      <c r="B383" t="inlineStr">
        <is>
          <t>avverkningsanmälan</t>
        </is>
      </c>
      <c r="C383" t="inlineStr">
        <is>
          <t>Föryngringsavverkning</t>
        </is>
      </c>
      <c r="D383" s="1" t="n">
        <v>45264</v>
      </c>
      <c r="E383" s="1" t="n">
        <v>46218</v>
      </c>
      <c r="F383" t="inlineStr">
        <is>
          <t>KRONOBERGS LÄN</t>
        </is>
      </c>
      <c r="G383" t="inlineStr">
        <is>
          <t>UPPVIDINGE</t>
        </is>
      </c>
      <c r="I383" t="n">
        <v>2.8</v>
      </c>
      <c r="J383" t="n">
        <v>0</v>
      </c>
      <c r="K383" t="n">
        <v>0</v>
      </c>
      <c r="L383" t="n">
        <v>0</v>
      </c>
      <c r="M383" t="n">
        <v>0</v>
      </c>
      <c r="N383" t="n">
        <v>0</v>
      </c>
      <c r="O383" t="n">
        <v>0</v>
      </c>
      <c r="P383" t="n">
        <v>0</v>
      </c>
      <c r="Q383" t="n">
        <v>0</v>
      </c>
      <c r="R383" t="n">
        <v>0</v>
      </c>
      <c r="S383" t="n">
        <v>0</v>
      </c>
      <c r="T383" t="n">
        <v>0</v>
      </c>
      <c r="U383" s="2" t="inlineStr"/>
    </row>
    <row r="384" ht="15" customHeight="1">
      <c r="A384" t="inlineStr">
        <is>
          <t>A 41810-2024</t>
        </is>
      </c>
      <c r="B384" t="inlineStr">
        <is>
          <t>avverkningsanmälan</t>
        </is>
      </c>
      <c r="C384" t="inlineStr">
        <is>
          <t>Föryngringsavverkning</t>
        </is>
      </c>
      <c r="D384" s="1" t="n">
        <v>45561</v>
      </c>
      <c r="E384" s="1" t="n">
        <v>46218</v>
      </c>
      <c r="F384" t="inlineStr">
        <is>
          <t>KRONOBERGS LÄN</t>
        </is>
      </c>
      <c r="G384" t="inlineStr">
        <is>
          <t>UPPVIDINGE</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51512-2024</t>
        </is>
      </c>
      <c r="B385" t="inlineStr">
        <is>
          <t>avverkningsanmälan</t>
        </is>
      </c>
      <c r="C385" t="inlineStr">
        <is>
          <t>Föryngringsavverkning</t>
        </is>
      </c>
      <c r="D385" s="1" t="n">
        <v>45604</v>
      </c>
      <c r="E385" s="1" t="n">
        <v>46218</v>
      </c>
      <c r="F385" t="inlineStr">
        <is>
          <t>KRONOBERGS LÄN</t>
        </is>
      </c>
      <c r="G385" t="inlineStr">
        <is>
          <t>UPPVIDINGE</t>
        </is>
      </c>
      <c r="H385" t="inlineStr">
        <is>
          <t>Sveaskog</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51518-2024</t>
        </is>
      </c>
      <c r="B386" t="inlineStr">
        <is>
          <t>avverkningsanmälan</t>
        </is>
      </c>
      <c r="C386" t="inlineStr">
        <is>
          <t>Föryngringsavverkning</t>
        </is>
      </c>
      <c r="D386" s="1" t="n">
        <v>45604</v>
      </c>
      <c r="E386" s="1" t="n">
        <v>46218</v>
      </c>
      <c r="F386" t="inlineStr">
        <is>
          <t>KRONOBERGS LÄN</t>
        </is>
      </c>
      <c r="G386" t="inlineStr">
        <is>
          <t>UPPVIDINGE</t>
        </is>
      </c>
      <c r="H386" t="inlineStr">
        <is>
          <t>Sveaskog</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19034-2025</t>
        </is>
      </c>
      <c r="B387" t="inlineStr">
        <is>
          <t>avverkningsanmälan</t>
        </is>
      </c>
      <c r="C387" t="inlineStr">
        <is>
          <t>Föryngringsavverkning</t>
        </is>
      </c>
      <c r="D387" s="1" t="n">
        <v>45764</v>
      </c>
      <c r="E387" s="1" t="n">
        <v>46218</v>
      </c>
      <c r="F387" t="inlineStr">
        <is>
          <t>KRONOBERGS LÄN</t>
        </is>
      </c>
      <c r="G387" t="inlineStr">
        <is>
          <t>UPPVIDINGE</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18309-2023</t>
        </is>
      </c>
      <c r="B388" t="inlineStr">
        <is>
          <t>avverkningsanmälan</t>
        </is>
      </c>
      <c r="C388" t="inlineStr">
        <is>
          <t>Föryngringsavverkning</t>
        </is>
      </c>
      <c r="D388" s="1" t="n">
        <v>45041</v>
      </c>
      <c r="E388" s="1" t="n">
        <v>46218</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18310-2023</t>
        </is>
      </c>
      <c r="B389" t="inlineStr">
        <is>
          <t>avverkningsanmälan</t>
        </is>
      </c>
      <c r="C389" t="inlineStr">
        <is>
          <t>Föryngringsavverkning</t>
        </is>
      </c>
      <c r="D389" s="1" t="n">
        <v>45041</v>
      </c>
      <c r="E389" s="1" t="n">
        <v>46218</v>
      </c>
      <c r="F389" t="inlineStr">
        <is>
          <t>KRONOBERGS LÄN</t>
        </is>
      </c>
      <c r="G389" t="inlineStr">
        <is>
          <t>UPPVIDINGE</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52727-2025</t>
        </is>
      </c>
      <c r="B390" t="inlineStr">
        <is>
          <t>avverkningsanmälan</t>
        </is>
      </c>
      <c r="C390" t="inlineStr">
        <is>
          <t>Föryngringsavverkning</t>
        </is>
      </c>
      <c r="D390" s="1" t="n">
        <v>45957</v>
      </c>
      <c r="E390" s="1" t="n">
        <v>46218</v>
      </c>
      <c r="F390" t="inlineStr">
        <is>
          <t>KRONOBERGS LÄN</t>
        </is>
      </c>
      <c r="G390" t="inlineStr">
        <is>
          <t>UPPVIDINGE</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15526-2025</t>
        </is>
      </c>
      <c r="B391" t="inlineStr">
        <is>
          <t>avverkningsanmälan</t>
        </is>
      </c>
      <c r="C391" t="inlineStr">
        <is>
          <t>Avverkning för annat ändamål</t>
        </is>
      </c>
      <c r="D391" s="1" t="n">
        <v>45747</v>
      </c>
      <c r="E391" s="1" t="n">
        <v>46218</v>
      </c>
      <c r="F391" t="inlineStr">
        <is>
          <t>KRONOBERGS LÄN</t>
        </is>
      </c>
      <c r="G391" t="inlineStr">
        <is>
          <t>UPPVIDINGE</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62566-2022</t>
        </is>
      </c>
      <c r="B392" t="inlineStr">
        <is>
          <t>avverkningsanmälan</t>
        </is>
      </c>
      <c r="C392" t="inlineStr">
        <is>
          <t>Föryngringsavverkning</t>
        </is>
      </c>
      <c r="D392" s="1" t="n">
        <v>44924</v>
      </c>
      <c r="E392" s="1" t="n">
        <v>46218</v>
      </c>
      <c r="F392" t="inlineStr">
        <is>
          <t>KRONOBERGS LÄN</t>
        </is>
      </c>
      <c r="G392" t="inlineStr">
        <is>
          <t>UPPVIDINGE</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28042-2024</t>
        </is>
      </c>
      <c r="B393" t="inlineStr">
        <is>
          <t>avverkningsanmälan</t>
        </is>
      </c>
      <c r="C393" t="inlineStr">
        <is>
          <t>Föryngringsavverkning</t>
        </is>
      </c>
      <c r="D393" s="1" t="n">
        <v>45476</v>
      </c>
      <c r="E393" s="1" t="n">
        <v>46218</v>
      </c>
      <c r="F393" t="inlineStr">
        <is>
          <t>KRONOBERGS LÄN</t>
        </is>
      </c>
      <c r="G393" t="inlineStr">
        <is>
          <t>UPPVIDINGE</t>
        </is>
      </c>
      <c r="I393" t="n">
        <v>3.7</v>
      </c>
      <c r="J393" t="n">
        <v>0</v>
      </c>
      <c r="K393" t="n">
        <v>0</v>
      </c>
      <c r="L393" t="n">
        <v>0</v>
      </c>
      <c r="M393" t="n">
        <v>0</v>
      </c>
      <c r="N393" t="n">
        <v>0</v>
      </c>
      <c r="O393" t="n">
        <v>0</v>
      </c>
      <c r="P393" t="n">
        <v>0</v>
      </c>
      <c r="Q393" t="n">
        <v>0</v>
      </c>
      <c r="R393" t="n">
        <v>0</v>
      </c>
      <c r="S393" t="n">
        <v>0</v>
      </c>
      <c r="T393" t="n">
        <v>0</v>
      </c>
      <c r="U393" s="2" t="inlineStr"/>
    </row>
    <row r="394" ht="15" customHeight="1">
      <c r="A394" t="inlineStr">
        <is>
          <t>A 31092-2024</t>
        </is>
      </c>
      <c r="B394" t="inlineStr">
        <is>
          <t>avverkningsanmälan</t>
        </is>
      </c>
      <c r="C394" t="inlineStr">
        <is>
          <t>Föryngringsavverkning</t>
        </is>
      </c>
      <c r="D394" s="1" t="n">
        <v>45502</v>
      </c>
      <c r="E394" s="1" t="n">
        <v>46218</v>
      </c>
      <c r="F394" t="inlineStr">
        <is>
          <t>KRONOBERGS LÄN</t>
        </is>
      </c>
      <c r="G394" t="inlineStr">
        <is>
          <t>UPPVIDINGE</t>
        </is>
      </c>
      <c r="H394" t="inlineStr">
        <is>
          <t>Sveaskog</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36780-2021</t>
        </is>
      </c>
      <c r="B395" t="inlineStr">
        <is>
          <t>avverkningsanmälan</t>
        </is>
      </c>
      <c r="C395" t="inlineStr">
        <is>
          <t>Föryngringsavverkning</t>
        </is>
      </c>
      <c r="D395" s="1" t="n">
        <v>44392</v>
      </c>
      <c r="E395" s="1" t="n">
        <v>46218</v>
      </c>
      <c r="F395" t="inlineStr">
        <is>
          <t>KRONOBERGS LÄN</t>
        </is>
      </c>
      <c r="G395" t="inlineStr">
        <is>
          <t>UPPVIDINGE</t>
        </is>
      </c>
      <c r="I395" t="n">
        <v>8.4</v>
      </c>
      <c r="J395" t="n">
        <v>0</v>
      </c>
      <c r="K395" t="n">
        <v>0</v>
      </c>
      <c r="L395" t="n">
        <v>0</v>
      </c>
      <c r="M395" t="n">
        <v>0</v>
      </c>
      <c r="N395" t="n">
        <v>0</v>
      </c>
      <c r="O395" t="n">
        <v>0</v>
      </c>
      <c r="P395" t="n">
        <v>0</v>
      </c>
      <c r="Q395" t="n">
        <v>0</v>
      </c>
      <c r="R395" t="n">
        <v>0</v>
      </c>
      <c r="S395" t="n">
        <v>0</v>
      </c>
      <c r="T395" t="n">
        <v>0</v>
      </c>
      <c r="U395" s="2" t="inlineStr"/>
    </row>
    <row r="396" ht="15" customHeight="1">
      <c r="A396" t="inlineStr">
        <is>
          <t>A 26344-2024</t>
        </is>
      </c>
      <c r="B396" t="inlineStr">
        <is>
          <t>avverkningsanmälan</t>
        </is>
      </c>
      <c r="C396" t="inlineStr">
        <is>
          <t>Föryngringsavverkning</t>
        </is>
      </c>
      <c r="D396" s="1" t="n">
        <v>45469</v>
      </c>
      <c r="E396" s="1" t="n">
        <v>46218</v>
      </c>
      <c r="F396" t="inlineStr">
        <is>
          <t>KRONOBERGS LÄN</t>
        </is>
      </c>
      <c r="G396" t="inlineStr">
        <is>
          <t>UPPVIDINGE</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44746-2023</t>
        </is>
      </c>
      <c r="B397" t="inlineStr">
        <is>
          <t>avverkningsanmälan</t>
        </is>
      </c>
      <c r="C397" t="inlineStr">
        <is>
          <t>Föryngringsavverkning</t>
        </is>
      </c>
      <c r="D397" s="1" t="n">
        <v>45190</v>
      </c>
      <c r="E397" s="1" t="n">
        <v>46218</v>
      </c>
      <c r="F397" t="inlineStr">
        <is>
          <t>KRONOBERGS LÄN</t>
        </is>
      </c>
      <c r="G397" t="inlineStr">
        <is>
          <t>UPPVIDINGE</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19070-2024</t>
        </is>
      </c>
      <c r="B398" t="inlineStr">
        <is>
          <t>avverkningsanmälan</t>
        </is>
      </c>
      <c r="C398" t="inlineStr">
        <is>
          <t>Föryngringsavverkning</t>
        </is>
      </c>
      <c r="D398" s="1" t="n">
        <v>45427</v>
      </c>
      <c r="E398" s="1" t="n">
        <v>46218</v>
      </c>
      <c r="F398" t="inlineStr">
        <is>
          <t>KRONOBERGS LÄN</t>
        </is>
      </c>
      <c r="G398" t="inlineStr">
        <is>
          <t>UPPVIDINGE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21262-2024</t>
        </is>
      </c>
      <c r="B399" t="inlineStr">
        <is>
          <t>avverkningsanmälan</t>
        </is>
      </c>
      <c r="C399" t="inlineStr">
        <is>
          <t>Avverkning för att bevara och utveckla /försöksver</t>
        </is>
      </c>
      <c r="D399" s="1" t="n">
        <v>45440</v>
      </c>
      <c r="E399" s="1" t="n">
        <v>46218</v>
      </c>
      <c r="F399" t="inlineStr">
        <is>
          <t>KRONOBERGS LÄN</t>
        </is>
      </c>
      <c r="G399" t="inlineStr">
        <is>
          <t>UPPVIDINGE</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29964-2024</t>
        </is>
      </c>
      <c r="B400" t="inlineStr">
        <is>
          <t>avverkningsanmälan</t>
        </is>
      </c>
      <c r="C400" t="inlineStr">
        <is>
          <t>Föryngringsavverkning</t>
        </is>
      </c>
      <c r="D400" s="1" t="n">
        <v>45488</v>
      </c>
      <c r="E400" s="1" t="n">
        <v>46218</v>
      </c>
      <c r="F400" t="inlineStr">
        <is>
          <t>KRONOBERGS LÄN</t>
        </is>
      </c>
      <c r="G400" t="inlineStr">
        <is>
          <t>UPPVIDINGE</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22375-2025</t>
        </is>
      </c>
      <c r="B401" t="inlineStr">
        <is>
          <t>avverkningsanmälan</t>
        </is>
      </c>
      <c r="C401" t="inlineStr">
        <is>
          <t>Föryngringsavverkning</t>
        </is>
      </c>
      <c r="D401" s="1" t="n">
        <v>45786</v>
      </c>
      <c r="E401" s="1" t="n">
        <v>46218</v>
      </c>
      <c r="F401" t="inlineStr">
        <is>
          <t>KRONOBERGS LÄN</t>
        </is>
      </c>
      <c r="G401" t="inlineStr">
        <is>
          <t>UPPVIDINGE</t>
        </is>
      </c>
      <c r="I401" t="n">
        <v>5</v>
      </c>
      <c r="J401" t="n">
        <v>0</v>
      </c>
      <c r="K401" t="n">
        <v>0</v>
      </c>
      <c r="L401" t="n">
        <v>0</v>
      </c>
      <c r="M401" t="n">
        <v>0</v>
      </c>
      <c r="N401" t="n">
        <v>0</v>
      </c>
      <c r="O401" t="n">
        <v>0</v>
      </c>
      <c r="P401" t="n">
        <v>0</v>
      </c>
      <c r="Q401" t="n">
        <v>0</v>
      </c>
      <c r="R401" t="n">
        <v>0</v>
      </c>
      <c r="S401" t="n">
        <v>0</v>
      </c>
      <c r="T401" t="n">
        <v>0</v>
      </c>
      <c r="U401" s="2" t="inlineStr"/>
    </row>
    <row r="402" ht="15" customHeight="1">
      <c r="A402" t="inlineStr">
        <is>
          <t>A 35388-2023</t>
        </is>
      </c>
      <c r="B402" t="inlineStr">
        <is>
          <t>avverkningsanmälan</t>
        </is>
      </c>
      <c r="C402" t="inlineStr">
        <is>
          <t>Föryngringsavverkning</t>
        </is>
      </c>
      <c r="D402" s="1" t="n">
        <v>45146</v>
      </c>
      <c r="E402" s="1" t="n">
        <v>46218</v>
      </c>
      <c r="F402" t="inlineStr">
        <is>
          <t>KRONOBERGS LÄN</t>
        </is>
      </c>
      <c r="G402" t="inlineStr">
        <is>
          <t>UPPVIDINGE</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67620-2021</t>
        </is>
      </c>
      <c r="B403" t="inlineStr">
        <is>
          <t>avverkningsanmälan</t>
        </is>
      </c>
      <c r="C403" t="inlineStr">
        <is>
          <t>Föryngringsavverkning</t>
        </is>
      </c>
      <c r="D403" s="1" t="n">
        <v>44524</v>
      </c>
      <c r="E403" s="1" t="n">
        <v>46218</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51414-2024</t>
        </is>
      </c>
      <c r="B404" t="inlineStr">
        <is>
          <t>avverkningsanmälan</t>
        </is>
      </c>
      <c r="C404" t="inlineStr">
        <is>
          <t>Föryngringsavverkning</t>
        </is>
      </c>
      <c r="D404" s="1" t="n">
        <v>45604</v>
      </c>
      <c r="E404" s="1" t="n">
        <v>46218</v>
      </c>
      <c r="F404" t="inlineStr">
        <is>
          <t>KRONOBERGS LÄN</t>
        </is>
      </c>
      <c r="G404" t="inlineStr">
        <is>
          <t>UPPVIDINGE</t>
        </is>
      </c>
      <c r="I404" t="n">
        <v>7.8</v>
      </c>
      <c r="J404" t="n">
        <v>0</v>
      </c>
      <c r="K404" t="n">
        <v>0</v>
      </c>
      <c r="L404" t="n">
        <v>0</v>
      </c>
      <c r="M404" t="n">
        <v>0</v>
      </c>
      <c r="N404" t="n">
        <v>0</v>
      </c>
      <c r="O404" t="n">
        <v>0</v>
      </c>
      <c r="P404" t="n">
        <v>0</v>
      </c>
      <c r="Q404" t="n">
        <v>0</v>
      </c>
      <c r="R404" t="n">
        <v>0</v>
      </c>
      <c r="S404" t="n">
        <v>0</v>
      </c>
      <c r="T404" t="n">
        <v>0</v>
      </c>
      <c r="U404" s="2" t="inlineStr"/>
    </row>
    <row r="405" ht="15" customHeight="1">
      <c r="A405" t="inlineStr">
        <is>
          <t>A 55382-2024</t>
        </is>
      </c>
      <c r="B405" t="inlineStr">
        <is>
          <t>avverkningsanmälan</t>
        </is>
      </c>
      <c r="C405" t="inlineStr">
        <is>
          <t>Föryngringsavverkning</t>
        </is>
      </c>
      <c r="D405" s="1" t="n">
        <v>45622</v>
      </c>
      <c r="E405" s="1" t="n">
        <v>46218</v>
      </c>
      <c r="F405" t="inlineStr">
        <is>
          <t>KRONOBERGS LÄN</t>
        </is>
      </c>
      <c r="G405" t="inlineStr">
        <is>
          <t>UPPVIDINGE</t>
        </is>
      </c>
      <c r="I405" t="n">
        <v>2.3</v>
      </c>
      <c r="J405" t="n">
        <v>0</v>
      </c>
      <c r="K405" t="n">
        <v>0</v>
      </c>
      <c r="L405" t="n">
        <v>0</v>
      </c>
      <c r="M405" t="n">
        <v>0</v>
      </c>
      <c r="N405" t="n">
        <v>0</v>
      </c>
      <c r="O405" t="n">
        <v>0</v>
      </c>
      <c r="P405" t="n">
        <v>0</v>
      </c>
      <c r="Q405" t="n">
        <v>0</v>
      </c>
      <c r="R405" t="n">
        <v>0</v>
      </c>
      <c r="S405" t="n">
        <v>0</v>
      </c>
      <c r="T405" t="n">
        <v>0</v>
      </c>
      <c r="U405" s="2" t="inlineStr"/>
    </row>
    <row r="406" ht="15" customHeight="1">
      <c r="A406" t="inlineStr">
        <is>
          <t>A 39737-2024</t>
        </is>
      </c>
      <c r="B406" t="inlineStr">
        <is>
          <t>avverkningsanmälan</t>
        </is>
      </c>
      <c r="C406" t="inlineStr">
        <is>
          <t>Föryngringsavverkning</t>
        </is>
      </c>
      <c r="D406" s="1" t="n">
        <v>45552</v>
      </c>
      <c r="E406" s="1" t="n">
        <v>46218</v>
      </c>
      <c r="F406" t="inlineStr">
        <is>
          <t>KRONOBERGS LÄN</t>
        </is>
      </c>
      <c r="G406" t="inlineStr">
        <is>
          <t>UPPVIDINGE</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14798-2025</t>
        </is>
      </c>
      <c r="B407" t="inlineStr">
        <is>
          <t>avverkningsanmälan</t>
        </is>
      </c>
      <c r="C407" t="inlineStr">
        <is>
          <t>Föryngringsavverkning</t>
        </is>
      </c>
      <c r="D407" s="1" t="n">
        <v>45742</v>
      </c>
      <c r="E407" s="1" t="n">
        <v>46218</v>
      </c>
      <c r="F407" t="inlineStr">
        <is>
          <t>KRONOBERGS LÄN</t>
        </is>
      </c>
      <c r="G407" t="inlineStr">
        <is>
          <t>UPPVIDINGE</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19236-2024</t>
        </is>
      </c>
      <c r="B408" t="inlineStr">
        <is>
          <t>avverkningsanmälan</t>
        </is>
      </c>
      <c r="C408" t="inlineStr">
        <is>
          <t>Föryngringsavverkning</t>
        </is>
      </c>
      <c r="D408" s="1" t="n">
        <v>45428</v>
      </c>
      <c r="E408" s="1" t="n">
        <v>46218</v>
      </c>
      <c r="F408" t="inlineStr">
        <is>
          <t>KRONOBERGS LÄN</t>
        </is>
      </c>
      <c r="G408" t="inlineStr">
        <is>
          <t>UPPVIDINGE</t>
        </is>
      </c>
      <c r="I408" t="n">
        <v>2</v>
      </c>
      <c r="J408" t="n">
        <v>0</v>
      </c>
      <c r="K408" t="n">
        <v>0</v>
      </c>
      <c r="L408" t="n">
        <v>0</v>
      </c>
      <c r="M408" t="n">
        <v>0</v>
      </c>
      <c r="N408" t="n">
        <v>0</v>
      </c>
      <c r="O408" t="n">
        <v>0</v>
      </c>
      <c r="P408" t="n">
        <v>0</v>
      </c>
      <c r="Q408" t="n">
        <v>0</v>
      </c>
      <c r="R408" t="n">
        <v>0</v>
      </c>
      <c r="S408" t="n">
        <v>0</v>
      </c>
      <c r="T408" t="n">
        <v>0</v>
      </c>
      <c r="U408" s="2" t="inlineStr"/>
    </row>
    <row r="409" ht="15" customHeight="1">
      <c r="A409" t="inlineStr">
        <is>
          <t>A 62559-2022</t>
        </is>
      </c>
      <c r="B409" t="inlineStr">
        <is>
          <t>avverkningsanmälan</t>
        </is>
      </c>
      <c r="C409" t="inlineStr">
        <is>
          <t>Föryngringsavverkning</t>
        </is>
      </c>
      <c r="D409" s="1" t="n">
        <v>44924</v>
      </c>
      <c r="E409" s="1" t="n">
        <v>46218</v>
      </c>
      <c r="F409" t="inlineStr">
        <is>
          <t>KRONOBERGS LÄN</t>
        </is>
      </c>
      <c r="G409" t="inlineStr">
        <is>
          <t>UPPVIDINGE</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41168-2023</t>
        </is>
      </c>
      <c r="B410" t="inlineStr">
        <is>
          <t>avverkningsanmälan</t>
        </is>
      </c>
      <c r="C410" t="inlineStr">
        <is>
          <t>Föryngringsavverkning</t>
        </is>
      </c>
      <c r="D410" s="1" t="n">
        <v>45174</v>
      </c>
      <c r="E410" s="1" t="n">
        <v>46218</v>
      </c>
      <c r="F410" t="inlineStr">
        <is>
          <t>KRONOBERGS LÄN</t>
        </is>
      </c>
      <c r="G410" t="inlineStr">
        <is>
          <t>UPPVIDINGE</t>
        </is>
      </c>
      <c r="I410" t="n">
        <v>6.7</v>
      </c>
      <c r="J410" t="n">
        <v>0</v>
      </c>
      <c r="K410" t="n">
        <v>0</v>
      </c>
      <c r="L410" t="n">
        <v>0</v>
      </c>
      <c r="M410" t="n">
        <v>0</v>
      </c>
      <c r="N410" t="n">
        <v>0</v>
      </c>
      <c r="O410" t="n">
        <v>0</v>
      </c>
      <c r="P410" t="n">
        <v>0</v>
      </c>
      <c r="Q410" t="n">
        <v>0</v>
      </c>
      <c r="R410" t="n">
        <v>0</v>
      </c>
      <c r="S410" t="n">
        <v>0</v>
      </c>
      <c r="T410" t="n">
        <v>0</v>
      </c>
      <c r="U410" s="2" t="inlineStr"/>
    </row>
    <row r="411" ht="15" customHeight="1">
      <c r="A411" t="inlineStr">
        <is>
          <t>A 14163-2023</t>
        </is>
      </c>
      <c r="B411" t="inlineStr">
        <is>
          <t>avverkningsanmälan</t>
        </is>
      </c>
      <c r="C411" t="inlineStr">
        <is>
          <t>Föryngringsavverkning</t>
        </is>
      </c>
      <c r="D411" s="1" t="n">
        <v>45009</v>
      </c>
      <c r="E411" s="1" t="n">
        <v>46218</v>
      </c>
      <c r="F411" t="inlineStr">
        <is>
          <t>KRONOBERGS LÄN</t>
        </is>
      </c>
      <c r="G411" t="inlineStr">
        <is>
          <t>UPPVIDINGE</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53759-2025</t>
        </is>
      </c>
      <c r="B412" t="inlineStr">
        <is>
          <t>avverkningsanmälan</t>
        </is>
      </c>
      <c r="C412" t="inlineStr">
        <is>
          <t>Föryngringsavverkning</t>
        </is>
      </c>
      <c r="D412" s="1" t="n">
        <v>45960</v>
      </c>
      <c r="E412" s="1" t="n">
        <v>46218</v>
      </c>
      <c r="F412" t="inlineStr">
        <is>
          <t>KRONOBERGS LÄN</t>
        </is>
      </c>
      <c r="G412" t="inlineStr">
        <is>
          <t>UPPVIDINGE</t>
        </is>
      </c>
      <c r="H412" t="inlineStr">
        <is>
          <t>Sveaskog</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63553-2023</t>
        </is>
      </c>
      <c r="B413" t="inlineStr">
        <is>
          <t>avverkningsanmälan</t>
        </is>
      </c>
      <c r="C413" t="inlineStr">
        <is>
          <t>Föryngringsavverkning</t>
        </is>
      </c>
      <c r="D413" s="1" t="n">
        <v>45275</v>
      </c>
      <c r="E413" s="1" t="n">
        <v>46218</v>
      </c>
      <c r="F413" t="inlineStr">
        <is>
          <t>KRONOBERGS LÄN</t>
        </is>
      </c>
      <c r="G413" t="inlineStr">
        <is>
          <t>UPPVIDINGE</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53739-2025</t>
        </is>
      </c>
      <c r="B414" t="inlineStr">
        <is>
          <t>avverkningsanmälan</t>
        </is>
      </c>
      <c r="C414" t="inlineStr">
        <is>
          <t>Föryngringsavverkning</t>
        </is>
      </c>
      <c r="D414" s="1" t="n">
        <v>45960</v>
      </c>
      <c r="E414" s="1" t="n">
        <v>46218</v>
      </c>
      <c r="F414" t="inlineStr">
        <is>
          <t>KRONOBERGS LÄN</t>
        </is>
      </c>
      <c r="G414" t="inlineStr">
        <is>
          <t>UPPVIDINGE</t>
        </is>
      </c>
      <c r="H414" t="inlineStr">
        <is>
          <t>Sveaskog</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8163-2025</t>
        </is>
      </c>
      <c r="B415" t="inlineStr">
        <is>
          <t>avverkningsanmälan</t>
        </is>
      </c>
      <c r="C415" t="inlineStr">
        <is>
          <t>Föryngringsavverkning</t>
        </is>
      </c>
      <c r="D415" s="1" t="n">
        <v>45708</v>
      </c>
      <c r="E415" s="1" t="n">
        <v>46218</v>
      </c>
      <c r="F415" t="inlineStr">
        <is>
          <t>KRONOBERGS LÄN</t>
        </is>
      </c>
      <c r="G415" t="inlineStr">
        <is>
          <t>UPPVIDINGE</t>
        </is>
      </c>
      <c r="I415" t="n">
        <v>3.3</v>
      </c>
      <c r="J415" t="n">
        <v>0</v>
      </c>
      <c r="K415" t="n">
        <v>0</v>
      </c>
      <c r="L415" t="n">
        <v>0</v>
      </c>
      <c r="M415" t="n">
        <v>0</v>
      </c>
      <c r="N415" t="n">
        <v>0</v>
      </c>
      <c r="O415" t="n">
        <v>0</v>
      </c>
      <c r="P415" t="n">
        <v>0</v>
      </c>
      <c r="Q415" t="n">
        <v>0</v>
      </c>
      <c r="R415" t="n">
        <v>0</v>
      </c>
      <c r="S415" t="n">
        <v>0</v>
      </c>
      <c r="T415" t="n">
        <v>0</v>
      </c>
      <c r="U415" s="2" t="inlineStr"/>
    </row>
    <row r="416" ht="15" customHeight="1">
      <c r="A416" t="inlineStr">
        <is>
          <t>A 19942-2022</t>
        </is>
      </c>
      <c r="B416" t="inlineStr">
        <is>
          <t>avverkningsanmälan</t>
        </is>
      </c>
      <c r="C416" t="inlineStr">
        <is>
          <t>Föryngringsavverkning</t>
        </is>
      </c>
      <c r="D416" s="1" t="n">
        <v>44697</v>
      </c>
      <c r="E416" s="1" t="n">
        <v>46218</v>
      </c>
      <c r="F416" t="inlineStr">
        <is>
          <t>KRONOBERGS LÄN</t>
        </is>
      </c>
      <c r="G416" t="inlineStr">
        <is>
          <t>UPPVIDINGE</t>
        </is>
      </c>
      <c r="H416" t="inlineStr">
        <is>
          <t>Kyrkan</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57651-2022</t>
        </is>
      </c>
      <c r="B417" t="inlineStr">
        <is>
          <t>avverkningsanmälan</t>
        </is>
      </c>
      <c r="C417" t="inlineStr">
        <is>
          <t>Föryngringsavverkning</t>
        </is>
      </c>
      <c r="D417" s="1" t="n">
        <v>44897</v>
      </c>
      <c r="E417" s="1" t="n">
        <v>46218</v>
      </c>
      <c r="F417" t="inlineStr">
        <is>
          <t>KRONOBERGS LÄN</t>
        </is>
      </c>
      <c r="G417" t="inlineStr">
        <is>
          <t>UPPVIDINGE</t>
        </is>
      </c>
      <c r="I417" t="n">
        <v>3.6</v>
      </c>
      <c r="J417" t="n">
        <v>0</v>
      </c>
      <c r="K417" t="n">
        <v>0</v>
      </c>
      <c r="L417" t="n">
        <v>0</v>
      </c>
      <c r="M417" t="n">
        <v>0</v>
      </c>
      <c r="N417" t="n">
        <v>0</v>
      </c>
      <c r="O417" t="n">
        <v>0</v>
      </c>
      <c r="P417" t="n">
        <v>0</v>
      </c>
      <c r="Q417" t="n">
        <v>0</v>
      </c>
      <c r="R417" t="n">
        <v>0</v>
      </c>
      <c r="S417" t="n">
        <v>0</v>
      </c>
      <c r="T417" t="n">
        <v>0</v>
      </c>
      <c r="U417" s="2" t="inlineStr"/>
    </row>
    <row r="418" ht="15" customHeight="1">
      <c r="A418" t="inlineStr">
        <is>
          <t>A 51915-2024</t>
        </is>
      </c>
      <c r="B418" t="inlineStr">
        <is>
          <t>avverkningsanmälan</t>
        </is>
      </c>
      <c r="C418" t="inlineStr">
        <is>
          <t>Föryngringsavverkning</t>
        </is>
      </c>
      <c r="D418" s="1" t="n">
        <v>45607</v>
      </c>
      <c r="E418" s="1" t="n">
        <v>46218</v>
      </c>
      <c r="F418" t="inlineStr">
        <is>
          <t>KRONOBERGS LÄN</t>
        </is>
      </c>
      <c r="G418" t="inlineStr">
        <is>
          <t>UPPVIDINGE</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61112-2022</t>
        </is>
      </c>
      <c r="B419" t="inlineStr">
        <is>
          <t>avverkningsanmälan</t>
        </is>
      </c>
      <c r="C419" t="inlineStr">
        <is>
          <t>Föryngringsavverkning</t>
        </is>
      </c>
      <c r="D419" s="1" t="n">
        <v>44915</v>
      </c>
      <c r="E419" s="1" t="n">
        <v>46218</v>
      </c>
      <c r="F419" t="inlineStr">
        <is>
          <t>KRONOBERGS LÄN</t>
        </is>
      </c>
      <c r="G419" t="inlineStr">
        <is>
          <t>UPPVIDINGE</t>
        </is>
      </c>
      <c r="I419" t="n">
        <v>12.5</v>
      </c>
      <c r="J419" t="n">
        <v>0</v>
      </c>
      <c r="K419" t="n">
        <v>0</v>
      </c>
      <c r="L419" t="n">
        <v>0</v>
      </c>
      <c r="M419" t="n">
        <v>0</v>
      </c>
      <c r="N419" t="n">
        <v>0</v>
      </c>
      <c r="O419" t="n">
        <v>0</v>
      </c>
      <c r="P419" t="n">
        <v>0</v>
      </c>
      <c r="Q419" t="n">
        <v>0</v>
      </c>
      <c r="R419" t="n">
        <v>0</v>
      </c>
      <c r="S419" t="n">
        <v>0</v>
      </c>
      <c r="T419" t="n">
        <v>0</v>
      </c>
      <c r="U419" s="2" t="inlineStr"/>
    </row>
    <row r="420" ht="15" customHeight="1">
      <c r="A420" t="inlineStr">
        <is>
          <t>A 33949-2022</t>
        </is>
      </c>
      <c r="B420" t="inlineStr">
        <is>
          <t>avverkningsanmälan</t>
        </is>
      </c>
      <c r="C420" t="inlineStr">
        <is>
          <t>Föryngringsavverkning</t>
        </is>
      </c>
      <c r="D420" s="1" t="n">
        <v>44790</v>
      </c>
      <c r="E420" s="1" t="n">
        <v>46218</v>
      </c>
      <c r="F420" t="inlineStr">
        <is>
          <t>KRONOBERGS LÄN</t>
        </is>
      </c>
      <c r="G420" t="inlineStr">
        <is>
          <t>UPPVIDINGE</t>
        </is>
      </c>
      <c r="H420" t="inlineStr">
        <is>
          <t>Kyrkan</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23712-2024</t>
        </is>
      </c>
      <c r="B421" t="inlineStr">
        <is>
          <t>avverkningsanmälan</t>
        </is>
      </c>
      <c r="C421" t="inlineStr">
        <is>
          <t>Föryngringsavverkning</t>
        </is>
      </c>
      <c r="D421" s="1" t="n">
        <v>45454</v>
      </c>
      <c r="E421" s="1" t="n">
        <v>46218</v>
      </c>
      <c r="F421" t="inlineStr">
        <is>
          <t>KRONOBERGS LÄN</t>
        </is>
      </c>
      <c r="G421" t="inlineStr">
        <is>
          <t>UPPVIDINGE</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48438-2024</t>
        </is>
      </c>
      <c r="B422" t="inlineStr">
        <is>
          <t>avverkningsanmälan</t>
        </is>
      </c>
      <c r="C422" t="inlineStr">
        <is>
          <t>Föryngringsavverkning</t>
        </is>
      </c>
      <c r="D422" s="1" t="n">
        <v>45590</v>
      </c>
      <c r="E422" s="1" t="n">
        <v>46218</v>
      </c>
      <c r="F422" t="inlineStr">
        <is>
          <t>KRONOBERGS LÄN</t>
        </is>
      </c>
      <c r="G422" t="inlineStr">
        <is>
          <t>UPPVIDINGE</t>
        </is>
      </c>
      <c r="I422" t="n">
        <v>3.5</v>
      </c>
      <c r="J422" t="n">
        <v>0</v>
      </c>
      <c r="K422" t="n">
        <v>0</v>
      </c>
      <c r="L422" t="n">
        <v>0</v>
      </c>
      <c r="M422" t="n">
        <v>0</v>
      </c>
      <c r="N422" t="n">
        <v>0</v>
      </c>
      <c r="O422" t="n">
        <v>0</v>
      </c>
      <c r="P422" t="n">
        <v>0</v>
      </c>
      <c r="Q422" t="n">
        <v>0</v>
      </c>
      <c r="R422" t="n">
        <v>0</v>
      </c>
      <c r="S422" t="n">
        <v>0</v>
      </c>
      <c r="T422" t="n">
        <v>0</v>
      </c>
      <c r="U422" s="2" t="inlineStr"/>
    </row>
    <row r="423" ht="15" customHeight="1">
      <c r="A423" t="inlineStr">
        <is>
          <t>A 17541-2025</t>
        </is>
      </c>
      <c r="B423" t="inlineStr">
        <is>
          <t>avverkningsanmälan</t>
        </is>
      </c>
      <c r="C423" t="inlineStr">
        <is>
          <t>Föryngringsavverkning</t>
        </is>
      </c>
      <c r="D423" s="1" t="n">
        <v>45757</v>
      </c>
      <c r="E423" s="1" t="n">
        <v>46218</v>
      </c>
      <c r="F423" t="inlineStr">
        <is>
          <t>KRONOBERGS LÄN</t>
        </is>
      </c>
      <c r="G423" t="inlineStr">
        <is>
          <t>UPPVIDINGE</t>
        </is>
      </c>
      <c r="H423" t="inlineStr">
        <is>
          <t>Kyrkan</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20515-2023</t>
        </is>
      </c>
      <c r="B424" t="inlineStr">
        <is>
          <t>avverkningsanmälan</t>
        </is>
      </c>
      <c r="C424" t="inlineStr">
        <is>
          <t>Föryngringsavverkning</t>
        </is>
      </c>
      <c r="D424" s="1" t="n">
        <v>45057</v>
      </c>
      <c r="E424" s="1" t="n">
        <v>46218</v>
      </c>
      <c r="F424" t="inlineStr">
        <is>
          <t>KRONOBERGS LÄN</t>
        </is>
      </c>
      <c r="G424" t="inlineStr">
        <is>
          <t>UPPVIDINGE</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9715-2023</t>
        </is>
      </c>
      <c r="B425" t="inlineStr">
        <is>
          <t>avverkningsanmälan</t>
        </is>
      </c>
      <c r="C425" t="inlineStr">
        <is>
          <t>Föryngringsavverkning</t>
        </is>
      </c>
      <c r="D425" s="1" t="n">
        <v>44984</v>
      </c>
      <c r="E425" s="1" t="n">
        <v>46218</v>
      </c>
      <c r="F425" t="inlineStr">
        <is>
          <t>KRONOBERGS LÄN</t>
        </is>
      </c>
      <c r="G425" t="inlineStr">
        <is>
          <t>UPPVIDINGE</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24489-2024</t>
        </is>
      </c>
      <c r="B426" t="inlineStr">
        <is>
          <t>avverkningsanmälan</t>
        </is>
      </c>
      <c r="C426" t="inlineStr">
        <is>
          <t>Föryngringsavverkning</t>
        </is>
      </c>
      <c r="D426" s="1" t="n">
        <v>45459</v>
      </c>
      <c r="E426" s="1" t="n">
        <v>46218</v>
      </c>
      <c r="F426" t="inlineStr">
        <is>
          <t>KRONOBERGS LÄN</t>
        </is>
      </c>
      <c r="G426" t="inlineStr">
        <is>
          <t>UPPVIDINGE</t>
        </is>
      </c>
      <c r="I426" t="n">
        <v>3.7</v>
      </c>
      <c r="J426" t="n">
        <v>0</v>
      </c>
      <c r="K426" t="n">
        <v>0</v>
      </c>
      <c r="L426" t="n">
        <v>0</v>
      </c>
      <c r="M426" t="n">
        <v>0</v>
      </c>
      <c r="N426" t="n">
        <v>0</v>
      </c>
      <c r="O426" t="n">
        <v>0</v>
      </c>
      <c r="P426" t="n">
        <v>0</v>
      </c>
      <c r="Q426" t="n">
        <v>0</v>
      </c>
      <c r="R426" t="n">
        <v>0</v>
      </c>
      <c r="S426" t="n">
        <v>0</v>
      </c>
      <c r="T426" t="n">
        <v>0</v>
      </c>
      <c r="U426" s="2" t="inlineStr"/>
    </row>
    <row r="427" ht="15" customHeight="1">
      <c r="A427" t="inlineStr">
        <is>
          <t>A 19216-2024</t>
        </is>
      </c>
      <c r="B427" t="inlineStr">
        <is>
          <t>avverkningsanmälan</t>
        </is>
      </c>
      <c r="C427" t="inlineStr">
        <is>
          <t>Föryngringsavverkning</t>
        </is>
      </c>
      <c r="D427" s="1" t="n">
        <v>45428</v>
      </c>
      <c r="E427" s="1" t="n">
        <v>46218</v>
      </c>
      <c r="F427" t="inlineStr">
        <is>
          <t>KRONOBERGS LÄN</t>
        </is>
      </c>
      <c r="G427" t="inlineStr">
        <is>
          <t>UPPVIDINGE</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10700-2024</t>
        </is>
      </c>
      <c r="B428" t="inlineStr">
        <is>
          <t>avverkningsanmälan</t>
        </is>
      </c>
      <c r="C428" t="inlineStr">
        <is>
          <t>Föryngringsavverkning</t>
        </is>
      </c>
      <c r="D428" s="1" t="n">
        <v>45369</v>
      </c>
      <c r="E428" s="1" t="n">
        <v>46218</v>
      </c>
      <c r="F428" t="inlineStr">
        <is>
          <t>KRONOBERGS LÄN</t>
        </is>
      </c>
      <c r="G428" t="inlineStr">
        <is>
          <t>UPPVIDINGE</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A 52657-2024</t>
        </is>
      </c>
      <c r="B429" t="inlineStr">
        <is>
          <t>avverkningsanmälan</t>
        </is>
      </c>
      <c r="C429" t="inlineStr">
        <is>
          <t>Föryngringsavverkning</t>
        </is>
      </c>
      <c r="D429" s="1" t="n">
        <v>45610</v>
      </c>
      <c r="E429" s="1" t="n">
        <v>46218</v>
      </c>
      <c r="F429" t="inlineStr">
        <is>
          <t>KRONOBERGS LÄN</t>
        </is>
      </c>
      <c r="G429" t="inlineStr">
        <is>
          <t>UPPVIDINGE</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10283-2025</t>
        </is>
      </c>
      <c r="B430" t="inlineStr">
        <is>
          <t>avverkningsanmälan</t>
        </is>
      </c>
      <c r="C430" t="inlineStr">
        <is>
          <t>Föryngringsavverkning</t>
        </is>
      </c>
      <c r="D430" s="1" t="n">
        <v>45720</v>
      </c>
      <c r="E430" s="1" t="n">
        <v>46218</v>
      </c>
      <c r="F430" t="inlineStr">
        <is>
          <t>KRONOBERGS LÄN</t>
        </is>
      </c>
      <c r="G430" t="inlineStr">
        <is>
          <t>UPPVIDINGE</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24455-2023</t>
        </is>
      </c>
      <c r="B431" t="inlineStr">
        <is>
          <t>avverkningsanmälan</t>
        </is>
      </c>
      <c r="C431" t="inlineStr">
        <is>
          <t>Föryngringsavverkning</t>
        </is>
      </c>
      <c r="D431" s="1" t="n">
        <v>45082</v>
      </c>
      <c r="E431" s="1" t="n">
        <v>46218</v>
      </c>
      <c r="F431" t="inlineStr">
        <is>
          <t>KRONOBERGS LÄN</t>
        </is>
      </c>
      <c r="G431" t="inlineStr">
        <is>
          <t>UPPVIDINGE</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15734-2024</t>
        </is>
      </c>
      <c r="B432" t="inlineStr">
        <is>
          <t>avverkningsanmälan</t>
        </is>
      </c>
      <c r="C432" t="inlineStr">
        <is>
          <t>Föryngringsavverkning</t>
        </is>
      </c>
      <c r="D432" s="1" t="n">
        <v>45404</v>
      </c>
      <c r="E432" s="1" t="n">
        <v>46218</v>
      </c>
      <c r="F432" t="inlineStr">
        <is>
          <t>KRONOBERGS LÄN</t>
        </is>
      </c>
      <c r="G432" t="inlineStr">
        <is>
          <t>UPPVIDINGE</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24935-2023</t>
        </is>
      </c>
      <c r="B433" t="inlineStr">
        <is>
          <t>avverkningsanmälan</t>
        </is>
      </c>
      <c r="C433" t="inlineStr">
        <is>
          <t>Föryngringsavverkning</t>
        </is>
      </c>
      <c r="D433" s="1" t="n">
        <v>45085</v>
      </c>
      <c r="E433" s="1" t="n">
        <v>46218</v>
      </c>
      <c r="F433" t="inlineStr">
        <is>
          <t>KRONOBERGS LÄN</t>
        </is>
      </c>
      <c r="G433" t="inlineStr">
        <is>
          <t>UPPVIDINGE</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39133-2023</t>
        </is>
      </c>
      <c r="B434" t="inlineStr">
        <is>
          <t>avverkningsanmälan</t>
        </is>
      </c>
      <c r="C434" t="inlineStr">
        <is>
          <t>Föryngringsavverkning</t>
        </is>
      </c>
      <c r="D434" s="1" t="n">
        <v>45165</v>
      </c>
      <c r="E434" s="1" t="n">
        <v>46218</v>
      </c>
      <c r="F434" t="inlineStr">
        <is>
          <t>KRONOBERGS LÄN</t>
        </is>
      </c>
      <c r="G434" t="inlineStr">
        <is>
          <t>UPPVIDINGE</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25448-2025</t>
        </is>
      </c>
      <c r="B435" t="inlineStr">
        <is>
          <t>avverkningsanmälan</t>
        </is>
      </c>
      <c r="C435" t="inlineStr">
        <is>
          <t>Föryngringsavverkning</t>
        </is>
      </c>
      <c r="D435" s="1" t="n">
        <v>45801</v>
      </c>
      <c r="E435" s="1" t="n">
        <v>46218</v>
      </c>
      <c r="F435" t="inlineStr">
        <is>
          <t>KRONOBERGS LÄN</t>
        </is>
      </c>
      <c r="G435" t="inlineStr">
        <is>
          <t>UPPVIDINGE</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2853-2023</t>
        </is>
      </c>
      <c r="B436" t="inlineStr">
        <is>
          <t>avverkningsanmälan</t>
        </is>
      </c>
      <c r="C436" t="inlineStr">
        <is>
          <t>Föryngringsavverkning</t>
        </is>
      </c>
      <c r="D436" s="1" t="n">
        <v>44945</v>
      </c>
      <c r="E436" s="1" t="n">
        <v>46218</v>
      </c>
      <c r="F436" t="inlineStr">
        <is>
          <t>KRONOBERGS LÄN</t>
        </is>
      </c>
      <c r="G436" t="inlineStr">
        <is>
          <t>UPPVIDINGE</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55083-2025</t>
        </is>
      </c>
      <c r="B437" t="inlineStr">
        <is>
          <t>avverkningsanmälan</t>
        </is>
      </c>
      <c r="C437" t="inlineStr">
        <is>
          <t>Föryngringsavverkning</t>
        </is>
      </c>
      <c r="D437" s="1" t="n">
        <v>45968</v>
      </c>
      <c r="E437" s="1" t="n">
        <v>46218</v>
      </c>
      <c r="F437" t="inlineStr">
        <is>
          <t>KRONOBERGS LÄN</t>
        </is>
      </c>
      <c r="G437" t="inlineStr">
        <is>
          <t>UPPVIDINGE</t>
        </is>
      </c>
      <c r="I437" t="n">
        <v>3.9</v>
      </c>
      <c r="J437" t="n">
        <v>0</v>
      </c>
      <c r="K437" t="n">
        <v>0</v>
      </c>
      <c r="L437" t="n">
        <v>0</v>
      </c>
      <c r="M437" t="n">
        <v>0</v>
      </c>
      <c r="N437" t="n">
        <v>0</v>
      </c>
      <c r="O437" t="n">
        <v>0</v>
      </c>
      <c r="P437" t="n">
        <v>0</v>
      </c>
      <c r="Q437" t="n">
        <v>0</v>
      </c>
      <c r="R437" t="n">
        <v>0</v>
      </c>
      <c r="S437" t="n">
        <v>0</v>
      </c>
      <c r="T437" t="n">
        <v>0</v>
      </c>
      <c r="U437" s="2" t="inlineStr"/>
    </row>
    <row r="438" ht="15" customHeight="1">
      <c r="A438" t="inlineStr">
        <is>
          <t>A 6071-2024</t>
        </is>
      </c>
      <c r="B438" t="inlineStr">
        <is>
          <t>avverkningsanmälan</t>
        </is>
      </c>
      <c r="C438" t="inlineStr">
        <is>
          <t>Föryngringsavverkning</t>
        </is>
      </c>
      <c r="D438" s="1" t="n">
        <v>45336</v>
      </c>
      <c r="E438" s="1" t="n">
        <v>46218</v>
      </c>
      <c r="F438" t="inlineStr">
        <is>
          <t>KRONOBERGS LÄN</t>
        </is>
      </c>
      <c r="G438" t="inlineStr">
        <is>
          <t>UPPVIDINGE</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25449-2025</t>
        </is>
      </c>
      <c r="B439" t="inlineStr">
        <is>
          <t>avverkningsanmälan</t>
        </is>
      </c>
      <c r="C439" t="inlineStr">
        <is>
          <t>Föryngringsavverkning</t>
        </is>
      </c>
      <c r="D439" s="1" t="n">
        <v>45801</v>
      </c>
      <c r="E439" s="1" t="n">
        <v>46218</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10930-2025</t>
        </is>
      </c>
      <c r="B440" t="inlineStr">
        <is>
          <t>avverkningsanmälan</t>
        </is>
      </c>
      <c r="C440" t="inlineStr">
        <is>
          <t>Föryngringsavverkning</t>
        </is>
      </c>
      <c r="D440" s="1" t="n">
        <v>45722</v>
      </c>
      <c r="E440" s="1" t="n">
        <v>46218</v>
      </c>
      <c r="F440" t="inlineStr">
        <is>
          <t>KRONOBERGS LÄN</t>
        </is>
      </c>
      <c r="G440" t="inlineStr">
        <is>
          <t>UPPVIDINGE</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53701-2023</t>
        </is>
      </c>
      <c r="B441" t="inlineStr">
        <is>
          <t>avverkningsanmälan</t>
        </is>
      </c>
      <c r="C441" t="inlineStr">
        <is>
          <t>Föryngringsavverkning</t>
        </is>
      </c>
      <c r="D441" s="1" t="n">
        <v>45230</v>
      </c>
      <c r="E441" s="1" t="n">
        <v>46218</v>
      </c>
      <c r="F441" t="inlineStr">
        <is>
          <t>KRONOBERGS LÄN</t>
        </is>
      </c>
      <c r="G441" t="inlineStr">
        <is>
          <t>UPPVIDINGE</t>
        </is>
      </c>
      <c r="H441" t="inlineStr">
        <is>
          <t>Sveaskog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25348-2025</t>
        </is>
      </c>
      <c r="B442" t="inlineStr">
        <is>
          <t>avverkningsanmälan</t>
        </is>
      </c>
      <c r="C442" t="inlineStr">
        <is>
          <t>Föryngringsavverkning</t>
        </is>
      </c>
      <c r="D442" s="1" t="n">
        <v>45800</v>
      </c>
      <c r="E442" s="1" t="n">
        <v>46218</v>
      </c>
      <c r="F442" t="inlineStr">
        <is>
          <t>KRONOBERGS LÄN</t>
        </is>
      </c>
      <c r="G442" t="inlineStr">
        <is>
          <t>UPPVIDINGE</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26009-2025</t>
        </is>
      </c>
      <c r="B443" t="inlineStr">
        <is>
          <t>avverkningsanmälan</t>
        </is>
      </c>
      <c r="C443" t="inlineStr">
        <is>
          <t>Avverkning för annat ändamål</t>
        </is>
      </c>
      <c r="D443" s="1" t="n">
        <v>45804</v>
      </c>
      <c r="E443" s="1" t="n">
        <v>46218</v>
      </c>
      <c r="F443" t="inlineStr">
        <is>
          <t>KRONOBERGS LÄN</t>
        </is>
      </c>
      <c r="G443" t="inlineStr">
        <is>
          <t>UPPVIDINGE</t>
        </is>
      </c>
      <c r="I443" t="n">
        <v>4</v>
      </c>
      <c r="J443" t="n">
        <v>0</v>
      </c>
      <c r="K443" t="n">
        <v>0</v>
      </c>
      <c r="L443" t="n">
        <v>0</v>
      </c>
      <c r="M443" t="n">
        <v>0</v>
      </c>
      <c r="N443" t="n">
        <v>0</v>
      </c>
      <c r="O443" t="n">
        <v>0</v>
      </c>
      <c r="P443" t="n">
        <v>0</v>
      </c>
      <c r="Q443" t="n">
        <v>0</v>
      </c>
      <c r="R443" t="n">
        <v>0</v>
      </c>
      <c r="S443" t="n">
        <v>0</v>
      </c>
      <c r="T443" t="n">
        <v>0</v>
      </c>
      <c r="U443" s="2" t="inlineStr"/>
    </row>
    <row r="444" ht="15" customHeight="1">
      <c r="A444" t="inlineStr">
        <is>
          <t>A 43403-2024</t>
        </is>
      </c>
      <c r="B444" t="inlineStr">
        <is>
          <t>avverkningsanmälan</t>
        </is>
      </c>
      <c r="C444" t="inlineStr">
        <is>
          <t>Föryngringsavverkning</t>
        </is>
      </c>
      <c r="D444" s="1" t="n">
        <v>45568</v>
      </c>
      <c r="E444" s="1" t="n">
        <v>46218</v>
      </c>
      <c r="F444" t="inlineStr">
        <is>
          <t>KRONOBERGS LÄN</t>
        </is>
      </c>
      <c r="G444" t="inlineStr">
        <is>
          <t>UPPVIDINGE</t>
        </is>
      </c>
      <c r="H444" t="inlineStr">
        <is>
          <t>Kyrkan</t>
        </is>
      </c>
      <c r="I444" t="n">
        <v>5.8</v>
      </c>
      <c r="J444" t="n">
        <v>0</v>
      </c>
      <c r="K444" t="n">
        <v>0</v>
      </c>
      <c r="L444" t="n">
        <v>0</v>
      </c>
      <c r="M444" t="n">
        <v>0</v>
      </c>
      <c r="N444" t="n">
        <v>0</v>
      </c>
      <c r="O444" t="n">
        <v>0</v>
      </c>
      <c r="P444" t="n">
        <v>0</v>
      </c>
      <c r="Q444" t="n">
        <v>0</v>
      </c>
      <c r="R444" t="n">
        <v>0</v>
      </c>
      <c r="S444" t="n">
        <v>0</v>
      </c>
      <c r="T444" t="n">
        <v>0</v>
      </c>
      <c r="U444" s="2" t="inlineStr"/>
    </row>
    <row r="445" ht="15" customHeight="1">
      <c r="A445" t="inlineStr">
        <is>
          <t>A 13873-2024</t>
        </is>
      </c>
      <c r="B445" t="inlineStr">
        <is>
          <t>avverkningsanmälan</t>
        </is>
      </c>
      <c r="C445" t="inlineStr">
        <is>
          <t>Föryngringsavverkning</t>
        </is>
      </c>
      <c r="D445" s="1" t="n">
        <v>45391</v>
      </c>
      <c r="E445" s="1" t="n">
        <v>46218</v>
      </c>
      <c r="F445" t="inlineStr">
        <is>
          <t>KRONOBERGS LÄN</t>
        </is>
      </c>
      <c r="G445" t="inlineStr">
        <is>
          <t>UPPVIDINGE</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37682-2021</t>
        </is>
      </c>
      <c r="B446" t="inlineStr">
        <is>
          <t>avverkningsanmälan</t>
        </is>
      </c>
      <c r="C446" t="inlineStr">
        <is>
          <t>Föryngringsavverkning</t>
        </is>
      </c>
      <c r="D446" s="1" t="n">
        <v>44400</v>
      </c>
      <c r="E446" s="1" t="n">
        <v>46218</v>
      </c>
      <c r="F446" t="inlineStr">
        <is>
          <t>KRONOBERGS LÄN</t>
        </is>
      </c>
      <c r="G446" t="inlineStr">
        <is>
          <t>UPPVIDINGE</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26267-2025</t>
        </is>
      </c>
      <c r="B447" t="inlineStr">
        <is>
          <t>avverkningsanmälan</t>
        </is>
      </c>
      <c r="C447" t="inlineStr">
        <is>
          <t>Föryngringsavverkning</t>
        </is>
      </c>
      <c r="D447" s="1" t="n">
        <v>45805</v>
      </c>
      <c r="E447" s="1" t="n">
        <v>46218</v>
      </c>
      <c r="F447" t="inlineStr">
        <is>
          <t>KRONOBERGS LÄN</t>
        </is>
      </c>
      <c r="G447" t="inlineStr">
        <is>
          <t>UPPVIDINGE</t>
        </is>
      </c>
      <c r="I447" t="n">
        <v>4.9</v>
      </c>
      <c r="J447" t="n">
        <v>0</v>
      </c>
      <c r="K447" t="n">
        <v>0</v>
      </c>
      <c r="L447" t="n">
        <v>0</v>
      </c>
      <c r="M447" t="n">
        <v>0</v>
      </c>
      <c r="N447" t="n">
        <v>0</v>
      </c>
      <c r="O447" t="n">
        <v>0</v>
      </c>
      <c r="P447" t="n">
        <v>0</v>
      </c>
      <c r="Q447" t="n">
        <v>0</v>
      </c>
      <c r="R447" t="n">
        <v>0</v>
      </c>
      <c r="S447" t="n">
        <v>0</v>
      </c>
      <c r="T447" t="n">
        <v>0</v>
      </c>
      <c r="U447" s="2" t="inlineStr"/>
    </row>
    <row r="448" ht="15" customHeight="1">
      <c r="A448" t="inlineStr">
        <is>
          <t>A 59072-2024</t>
        </is>
      </c>
      <c r="B448" t="inlineStr">
        <is>
          <t>avverkningsanmälan</t>
        </is>
      </c>
      <c r="C448" t="inlineStr">
        <is>
          <t>Föryngringsavverkning</t>
        </is>
      </c>
      <c r="D448" s="1" t="n">
        <v>45636</v>
      </c>
      <c r="E448" s="1" t="n">
        <v>46218</v>
      </c>
      <c r="F448" t="inlineStr">
        <is>
          <t>KRONOBERGS LÄN</t>
        </is>
      </c>
      <c r="G448" t="inlineStr">
        <is>
          <t>UPPVIDINGE</t>
        </is>
      </c>
      <c r="I448" t="n">
        <v>3.2</v>
      </c>
      <c r="J448" t="n">
        <v>0</v>
      </c>
      <c r="K448" t="n">
        <v>0</v>
      </c>
      <c r="L448" t="n">
        <v>0</v>
      </c>
      <c r="M448" t="n">
        <v>0</v>
      </c>
      <c r="N448" t="n">
        <v>0</v>
      </c>
      <c r="O448" t="n">
        <v>0</v>
      </c>
      <c r="P448" t="n">
        <v>0</v>
      </c>
      <c r="Q448" t="n">
        <v>0</v>
      </c>
      <c r="R448" t="n">
        <v>0</v>
      </c>
      <c r="S448" t="n">
        <v>0</v>
      </c>
      <c r="T448" t="n">
        <v>0</v>
      </c>
      <c r="U448" s="2" t="inlineStr"/>
    </row>
    <row r="449" ht="15" customHeight="1">
      <c r="A449" t="inlineStr">
        <is>
          <t>A 27887-2024</t>
        </is>
      </c>
      <c r="B449" t="inlineStr">
        <is>
          <t>avverkningsanmälan</t>
        </is>
      </c>
      <c r="C449" t="inlineStr">
        <is>
          <t>Föryngringsavverkning</t>
        </is>
      </c>
      <c r="D449" s="1" t="n">
        <v>45475</v>
      </c>
      <c r="E449" s="1" t="n">
        <v>46218</v>
      </c>
      <c r="F449" t="inlineStr">
        <is>
          <t>KRONOBERGS LÄN</t>
        </is>
      </c>
      <c r="G449" t="inlineStr">
        <is>
          <t>UPPVIDINGE</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25929-2022</t>
        </is>
      </c>
      <c r="B450" t="inlineStr">
        <is>
          <t>avverkningsanmälan</t>
        </is>
      </c>
      <c r="C450" t="inlineStr">
        <is>
          <t>Föryngringsavverkning</t>
        </is>
      </c>
      <c r="D450" s="1" t="n">
        <v>44734</v>
      </c>
      <c r="E450" s="1" t="n">
        <v>46218</v>
      </c>
      <c r="F450" t="inlineStr">
        <is>
          <t>KRONOBERGS LÄN</t>
        </is>
      </c>
      <c r="G450" t="inlineStr">
        <is>
          <t>UPPVIDINGE</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25931-2022</t>
        </is>
      </c>
      <c r="B451" t="inlineStr">
        <is>
          <t>avverkningsanmälan</t>
        </is>
      </c>
      <c r="C451" t="inlineStr">
        <is>
          <t>Föryngringsavverkning</t>
        </is>
      </c>
      <c r="D451" s="1" t="n">
        <v>44734</v>
      </c>
      <c r="E451" s="1" t="n">
        <v>46218</v>
      </c>
      <c r="F451" t="inlineStr">
        <is>
          <t>KRONOBERGS LÄN</t>
        </is>
      </c>
      <c r="G451" t="inlineStr">
        <is>
          <t>UPPVIDINGE</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25883-2025</t>
        </is>
      </c>
      <c r="B452" t="inlineStr">
        <is>
          <t>avverkningsanmälan</t>
        </is>
      </c>
      <c r="C452" t="inlineStr">
        <is>
          <t>Föryngringsavverkning</t>
        </is>
      </c>
      <c r="D452" s="1" t="n">
        <v>45804</v>
      </c>
      <c r="E452" s="1" t="n">
        <v>46218</v>
      </c>
      <c r="F452" t="inlineStr">
        <is>
          <t>KRONOBERGS LÄN</t>
        </is>
      </c>
      <c r="G452" t="inlineStr">
        <is>
          <t>UPPVIDINGE</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46693-2024</t>
        </is>
      </c>
      <c r="B453" t="inlineStr">
        <is>
          <t>avverkningsanmälan</t>
        </is>
      </c>
      <c r="C453" t="inlineStr">
        <is>
          <t>Föryngringsavverkning</t>
        </is>
      </c>
      <c r="D453" s="1" t="n">
        <v>45583</v>
      </c>
      <c r="E453" s="1" t="n">
        <v>46218</v>
      </c>
      <c r="F453" t="inlineStr">
        <is>
          <t>KRONOBERGS LÄN</t>
        </is>
      </c>
      <c r="G453" t="inlineStr">
        <is>
          <t>UPPVIDINGE</t>
        </is>
      </c>
      <c r="I453" t="n">
        <v>6</v>
      </c>
      <c r="J453" t="n">
        <v>0</v>
      </c>
      <c r="K453" t="n">
        <v>0</v>
      </c>
      <c r="L453" t="n">
        <v>0</v>
      </c>
      <c r="M453" t="n">
        <v>0</v>
      </c>
      <c r="N453" t="n">
        <v>0</v>
      </c>
      <c r="O453" t="n">
        <v>0</v>
      </c>
      <c r="P453" t="n">
        <v>0</v>
      </c>
      <c r="Q453" t="n">
        <v>0</v>
      </c>
      <c r="R453" t="n">
        <v>0</v>
      </c>
      <c r="S453" t="n">
        <v>0</v>
      </c>
      <c r="T453" t="n">
        <v>0</v>
      </c>
      <c r="U453" s="2" t="inlineStr"/>
    </row>
    <row r="454" ht="15" customHeight="1">
      <c r="A454" t="inlineStr">
        <is>
          <t>A 25889-2025</t>
        </is>
      </c>
      <c r="B454" t="inlineStr">
        <is>
          <t>avverkningsanmälan</t>
        </is>
      </c>
      <c r="C454" t="inlineStr">
        <is>
          <t>Föryngringsavverkning</t>
        </is>
      </c>
      <c r="D454" s="1" t="n">
        <v>45804</v>
      </c>
      <c r="E454" s="1" t="n">
        <v>46218</v>
      </c>
      <c r="F454" t="inlineStr">
        <is>
          <t>KRONOBERGS LÄN</t>
        </is>
      </c>
      <c r="G454" t="inlineStr">
        <is>
          <t>UPPVIDINGE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59803-2024</t>
        </is>
      </c>
      <c r="B455" t="inlineStr">
        <is>
          <t>avverkningsanmälan</t>
        </is>
      </c>
      <c r="C455" t="inlineStr">
        <is>
          <t>Föryngringsavverkning</t>
        </is>
      </c>
      <c r="D455" s="1" t="n">
        <v>45639</v>
      </c>
      <c r="E455" s="1" t="n">
        <v>46218</v>
      </c>
      <c r="F455" t="inlineStr">
        <is>
          <t>KRONOBERGS LÄN</t>
        </is>
      </c>
      <c r="G455" t="inlineStr">
        <is>
          <t>UPPVIDINGE</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6070-2024</t>
        </is>
      </c>
      <c r="B456" t="inlineStr">
        <is>
          <t>avverkningsanmälan</t>
        </is>
      </c>
      <c r="C456" t="inlineStr">
        <is>
          <t>Föryngringsavverkning</t>
        </is>
      </c>
      <c r="D456" s="1" t="n">
        <v>45336</v>
      </c>
      <c r="E456" s="1" t="n">
        <v>46218</v>
      </c>
      <c r="F456" t="inlineStr">
        <is>
          <t>KRONOBERGS LÄN</t>
        </is>
      </c>
      <c r="G456" t="inlineStr">
        <is>
          <t>UPPVIDINGE</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2265-2023</t>
        </is>
      </c>
      <c r="B457" t="inlineStr">
        <is>
          <t>avverkningsanmälan</t>
        </is>
      </c>
      <c r="C457" t="inlineStr">
        <is>
          <t>Föryngringsavverkning</t>
        </is>
      </c>
      <c r="D457" s="1" t="n">
        <v>44942</v>
      </c>
      <c r="E457" s="1" t="n">
        <v>46218</v>
      </c>
      <c r="F457" t="inlineStr">
        <is>
          <t>KRONOBERGS LÄN</t>
        </is>
      </c>
      <c r="G457" t="inlineStr">
        <is>
          <t>UPPVIDINGE</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2332-2023</t>
        </is>
      </c>
      <c r="B458" t="inlineStr">
        <is>
          <t>avverkningsanmälan</t>
        </is>
      </c>
      <c r="C458" t="inlineStr">
        <is>
          <t>Föryngringsavverkning</t>
        </is>
      </c>
      <c r="D458" s="1" t="n">
        <v>44942</v>
      </c>
      <c r="E458" s="1" t="n">
        <v>46218</v>
      </c>
      <c r="F458" t="inlineStr">
        <is>
          <t>KRONOBERGS LÄN</t>
        </is>
      </c>
      <c r="G458" t="inlineStr">
        <is>
          <t>UPPVIDINGE</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19055-2025</t>
        </is>
      </c>
      <c r="B459" t="inlineStr">
        <is>
          <t>avverkningsanmälan</t>
        </is>
      </c>
      <c r="C459" t="inlineStr">
        <is>
          <t>Föryngringsavverkning</t>
        </is>
      </c>
      <c r="D459" s="1" t="n">
        <v>45764</v>
      </c>
      <c r="E459" s="1" t="n">
        <v>46218</v>
      </c>
      <c r="F459" t="inlineStr">
        <is>
          <t>KRONOBERGS LÄN</t>
        </is>
      </c>
      <c r="G459" t="inlineStr">
        <is>
          <t>UPPVIDINGE</t>
        </is>
      </c>
      <c r="H459" t="inlineStr">
        <is>
          <t>Sveaskog</t>
        </is>
      </c>
      <c r="I459" t="n">
        <v>16.2</v>
      </c>
      <c r="J459" t="n">
        <v>0</v>
      </c>
      <c r="K459" t="n">
        <v>0</v>
      </c>
      <c r="L459" t="n">
        <v>0</v>
      </c>
      <c r="M459" t="n">
        <v>0</v>
      </c>
      <c r="N459" t="n">
        <v>0</v>
      </c>
      <c r="O459" t="n">
        <v>0</v>
      </c>
      <c r="P459" t="n">
        <v>0</v>
      </c>
      <c r="Q459" t="n">
        <v>0</v>
      </c>
      <c r="R459" t="n">
        <v>0</v>
      </c>
      <c r="S459" t="n">
        <v>0</v>
      </c>
      <c r="T459" t="n">
        <v>0</v>
      </c>
      <c r="U459" s="2" t="inlineStr"/>
    </row>
    <row r="460" ht="15" customHeight="1">
      <c r="A460" t="inlineStr">
        <is>
          <t>A 19057-2025</t>
        </is>
      </c>
      <c r="B460" t="inlineStr">
        <is>
          <t>avverkningsanmälan</t>
        </is>
      </c>
      <c r="C460" t="inlineStr">
        <is>
          <t>Föryngringsavverkning</t>
        </is>
      </c>
      <c r="D460" s="1" t="n">
        <v>45764</v>
      </c>
      <c r="E460" s="1" t="n">
        <v>46218</v>
      </c>
      <c r="F460" t="inlineStr">
        <is>
          <t>KRONOBERGS LÄN</t>
        </is>
      </c>
      <c r="G460" t="inlineStr">
        <is>
          <t>UPPVIDINGE</t>
        </is>
      </c>
      <c r="H460" t="inlineStr">
        <is>
          <t>Sveaskog</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26471-2025</t>
        </is>
      </c>
      <c r="B461" t="inlineStr">
        <is>
          <t>avverkningsanmälan</t>
        </is>
      </c>
      <c r="C461" t="inlineStr">
        <is>
          <t>Föryngringsavverkning</t>
        </is>
      </c>
      <c r="D461" s="1" t="n">
        <v>45807</v>
      </c>
      <c r="E461" s="1" t="n">
        <v>46218</v>
      </c>
      <c r="F461" t="inlineStr">
        <is>
          <t>KRONOBERGS LÄN</t>
        </is>
      </c>
      <c r="G461" t="inlineStr">
        <is>
          <t>UPPVIDINGE</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4825-2025</t>
        </is>
      </c>
      <c r="B462" t="inlineStr">
        <is>
          <t>avverkningsanmälan</t>
        </is>
      </c>
      <c r="C462" t="inlineStr">
        <is>
          <t>Föryngringsavverkning</t>
        </is>
      </c>
      <c r="D462" s="1" t="n">
        <v>45688</v>
      </c>
      <c r="E462" s="1" t="n">
        <v>46218</v>
      </c>
      <c r="F462" t="inlineStr">
        <is>
          <t>KRONOBERGS LÄN</t>
        </is>
      </c>
      <c r="G462" t="inlineStr">
        <is>
          <t>UPPVIDINGE</t>
        </is>
      </c>
      <c r="H462" t="inlineStr">
        <is>
          <t>Sveaskog</t>
        </is>
      </c>
      <c r="I462" t="n">
        <v>3.3</v>
      </c>
      <c r="J462" t="n">
        <v>0</v>
      </c>
      <c r="K462" t="n">
        <v>0</v>
      </c>
      <c r="L462" t="n">
        <v>0</v>
      </c>
      <c r="M462" t="n">
        <v>0</v>
      </c>
      <c r="N462" t="n">
        <v>0</v>
      </c>
      <c r="O462" t="n">
        <v>0</v>
      </c>
      <c r="P462" t="n">
        <v>0</v>
      </c>
      <c r="Q462" t="n">
        <v>0</v>
      </c>
      <c r="R462" t="n">
        <v>0</v>
      </c>
      <c r="S462" t="n">
        <v>0</v>
      </c>
      <c r="T462" t="n">
        <v>0</v>
      </c>
      <c r="U462" s="2" t="inlineStr"/>
    </row>
    <row r="463" ht="15" customHeight="1">
      <c r="A463" t="inlineStr">
        <is>
          <t>A 39095-2023</t>
        </is>
      </c>
      <c r="B463" t="inlineStr">
        <is>
          <t>avverkningsanmälan</t>
        </is>
      </c>
      <c r="C463" t="inlineStr">
        <is>
          <t>Föryngringsavverkning</t>
        </is>
      </c>
      <c r="D463" s="1" t="n">
        <v>45164</v>
      </c>
      <c r="E463" s="1" t="n">
        <v>46218</v>
      </c>
      <c r="F463" t="inlineStr">
        <is>
          <t>KRONOBERGS LÄN</t>
        </is>
      </c>
      <c r="G463" t="inlineStr">
        <is>
          <t>UPPVIDINGE</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53497-2023</t>
        </is>
      </c>
      <c r="B464" t="inlineStr">
        <is>
          <t>avverkningsanmälan</t>
        </is>
      </c>
      <c r="C464" t="inlineStr">
        <is>
          <t>Föryngringsavverkning</t>
        </is>
      </c>
      <c r="D464" s="1" t="n">
        <v>45230</v>
      </c>
      <c r="E464" s="1" t="n">
        <v>46218</v>
      </c>
      <c r="F464" t="inlineStr">
        <is>
          <t>KRONOBERGS LÄN</t>
        </is>
      </c>
      <c r="G464" t="inlineStr">
        <is>
          <t>UPPVIDINGE</t>
        </is>
      </c>
      <c r="H464" t="inlineStr">
        <is>
          <t>Sveaskog</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67156-2021</t>
        </is>
      </c>
      <c r="B465" t="inlineStr">
        <is>
          <t>avverkningsanmälan</t>
        </is>
      </c>
      <c r="C465" t="inlineStr">
        <is>
          <t>Föryngringsavverkning</t>
        </is>
      </c>
      <c r="D465" s="1" t="n">
        <v>44523</v>
      </c>
      <c r="E465" s="1" t="n">
        <v>46218</v>
      </c>
      <c r="F465" t="inlineStr">
        <is>
          <t>KRONOBERGS LÄN</t>
        </is>
      </c>
      <c r="G465" t="inlineStr">
        <is>
          <t>UPPVIDINGE</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64159-2023</t>
        </is>
      </c>
      <c r="B466" t="inlineStr">
        <is>
          <t>avverkningsanmälan</t>
        </is>
      </c>
      <c r="C466" t="inlineStr">
        <is>
          <t>Föryngringsavverkning</t>
        </is>
      </c>
      <c r="D466" s="1" t="n">
        <v>45279</v>
      </c>
      <c r="E466" s="1" t="n">
        <v>46218</v>
      </c>
      <c r="F466" t="inlineStr">
        <is>
          <t>KRONOBERGS LÄN</t>
        </is>
      </c>
      <c r="G466" t="inlineStr">
        <is>
          <t>UPPVIDINGE</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55689-2025</t>
        </is>
      </c>
      <c r="B467" t="inlineStr">
        <is>
          <t>avverkningsanmälan</t>
        </is>
      </c>
      <c r="C467" t="inlineStr">
        <is>
          <t>Föryngringsavverkning</t>
        </is>
      </c>
      <c r="D467" s="1" t="n">
        <v>45972</v>
      </c>
      <c r="E467" s="1" t="n">
        <v>46218</v>
      </c>
      <c r="F467" t="inlineStr">
        <is>
          <t>KRONOBERGS LÄN</t>
        </is>
      </c>
      <c r="G467" t="inlineStr">
        <is>
          <t>UPPVIDINGE</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55685-2025</t>
        </is>
      </c>
      <c r="B468" t="inlineStr">
        <is>
          <t>avverkningsanmälan</t>
        </is>
      </c>
      <c r="C468" t="inlineStr">
        <is>
          <t>Föryngringsavverkning</t>
        </is>
      </c>
      <c r="D468" s="1" t="n">
        <v>45972</v>
      </c>
      <c r="E468" s="1" t="n">
        <v>46218</v>
      </c>
      <c r="F468" t="inlineStr">
        <is>
          <t>KRONOBERGS LÄN</t>
        </is>
      </c>
      <c r="G468" t="inlineStr">
        <is>
          <t>UPPVIDINGE</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55848-2025</t>
        </is>
      </c>
      <c r="B469" t="inlineStr">
        <is>
          <t>avverkningsanmälan</t>
        </is>
      </c>
      <c r="C469" t="inlineStr">
        <is>
          <t>Föryngringsavverkning</t>
        </is>
      </c>
      <c r="D469" s="1" t="n">
        <v>45973</v>
      </c>
      <c r="E469" s="1" t="n">
        <v>46218</v>
      </c>
      <c r="F469" t="inlineStr">
        <is>
          <t>KRONOBERGS LÄN</t>
        </is>
      </c>
      <c r="G469" t="inlineStr">
        <is>
          <t>UPPVIDINGE</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29870-2023</t>
        </is>
      </c>
      <c r="B470" t="inlineStr">
        <is>
          <t>avverkningsanmälan</t>
        </is>
      </c>
      <c r="C470" t="inlineStr">
        <is>
          <t>Föryngringsavverkning</t>
        </is>
      </c>
      <c r="D470" s="1" t="n">
        <v>45107</v>
      </c>
      <c r="E470" s="1" t="n">
        <v>46218</v>
      </c>
      <c r="F470" t="inlineStr">
        <is>
          <t>KRONOBERGS LÄN</t>
        </is>
      </c>
      <c r="G470" t="inlineStr">
        <is>
          <t>UPPVIDINGE</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22178-2023</t>
        </is>
      </c>
      <c r="B471" t="inlineStr">
        <is>
          <t>avverkningsanmälan</t>
        </is>
      </c>
      <c r="C471" t="inlineStr">
        <is>
          <t>Föryngringsavverkning</t>
        </is>
      </c>
      <c r="D471" s="1" t="n">
        <v>45069</v>
      </c>
      <c r="E471" s="1" t="n">
        <v>46218</v>
      </c>
      <c r="F471" t="inlineStr">
        <is>
          <t>KRONOBERGS LÄN</t>
        </is>
      </c>
      <c r="G471" t="inlineStr">
        <is>
          <t>UPPVIDINGE</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21275-2024</t>
        </is>
      </c>
      <c r="B472" t="inlineStr">
        <is>
          <t>avverkningsanmälan</t>
        </is>
      </c>
      <c r="C472" t="inlineStr">
        <is>
          <t>Föryngringsavverkning</t>
        </is>
      </c>
      <c r="D472" s="1" t="n">
        <v>45440</v>
      </c>
      <c r="E472" s="1" t="n">
        <v>46218</v>
      </c>
      <c r="F472" t="inlineStr">
        <is>
          <t>KRONOBERGS LÄN</t>
        </is>
      </c>
      <c r="G472" t="inlineStr">
        <is>
          <t>UPPVIDINGE</t>
        </is>
      </c>
      <c r="I472" t="n">
        <v>4.2</v>
      </c>
      <c r="J472" t="n">
        <v>0</v>
      </c>
      <c r="K472" t="n">
        <v>0</v>
      </c>
      <c r="L472" t="n">
        <v>0</v>
      </c>
      <c r="M472" t="n">
        <v>0</v>
      </c>
      <c r="N472" t="n">
        <v>0</v>
      </c>
      <c r="O472" t="n">
        <v>0</v>
      </c>
      <c r="P472" t="n">
        <v>0</v>
      </c>
      <c r="Q472" t="n">
        <v>0</v>
      </c>
      <c r="R472" t="n">
        <v>0</v>
      </c>
      <c r="S472" t="n">
        <v>0</v>
      </c>
      <c r="T472" t="n">
        <v>0</v>
      </c>
      <c r="U472" s="2" t="inlineStr"/>
    </row>
    <row r="473" ht="15" customHeight="1">
      <c r="A473" t="inlineStr">
        <is>
          <t>A 28148-2025</t>
        </is>
      </c>
      <c r="B473" t="inlineStr">
        <is>
          <t>avverkningsanmälan</t>
        </is>
      </c>
      <c r="C473" t="inlineStr">
        <is>
          <t>Föryngringsavverkning</t>
        </is>
      </c>
      <c r="D473" s="1" t="n">
        <v>45818</v>
      </c>
      <c r="E473" s="1" t="n">
        <v>46218</v>
      </c>
      <c r="F473" t="inlineStr">
        <is>
          <t>KRONOBERGS LÄN</t>
        </is>
      </c>
      <c r="G473" t="inlineStr">
        <is>
          <t>UPPVIDINGE</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42755-2023</t>
        </is>
      </c>
      <c r="B474" t="inlineStr">
        <is>
          <t>avverkningsanmälan</t>
        </is>
      </c>
      <c r="C474" t="inlineStr">
        <is>
          <t>Föryngringsavverkning</t>
        </is>
      </c>
      <c r="D474" s="1" t="n">
        <v>45181</v>
      </c>
      <c r="E474" s="1" t="n">
        <v>46218</v>
      </c>
      <c r="F474" t="inlineStr">
        <is>
          <t>KRONOBERGS LÄN</t>
        </is>
      </c>
      <c r="G474" t="inlineStr">
        <is>
          <t>UPPVIDINGE</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13583-2024</t>
        </is>
      </c>
      <c r="B475" t="inlineStr">
        <is>
          <t>avverkningsanmälan</t>
        </is>
      </c>
      <c r="C475" t="inlineStr">
        <is>
          <t>Föryngringsavverkning</t>
        </is>
      </c>
      <c r="D475" s="1" t="n">
        <v>45389</v>
      </c>
      <c r="E475" s="1" t="n">
        <v>46218</v>
      </c>
      <c r="F475" t="inlineStr">
        <is>
          <t>KRONOBERGS LÄN</t>
        </is>
      </c>
      <c r="G475" t="inlineStr">
        <is>
          <t>UPPVIDINGE</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20963-2025</t>
        </is>
      </c>
      <c r="B476" t="inlineStr">
        <is>
          <t>avverkningsanmälan</t>
        </is>
      </c>
      <c r="C476" t="inlineStr">
        <is>
          <t>Föryngringsavverkning</t>
        </is>
      </c>
      <c r="D476" s="1" t="n">
        <v>45777</v>
      </c>
      <c r="E476" s="1" t="n">
        <v>46218</v>
      </c>
      <c r="F476" t="inlineStr">
        <is>
          <t>KRONOBERGS LÄN</t>
        </is>
      </c>
      <c r="G476" t="inlineStr">
        <is>
          <t>UPPVIDINGE</t>
        </is>
      </c>
      <c r="H476" t="inlineStr">
        <is>
          <t>Sveaskog</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4169-2023</t>
        </is>
      </c>
      <c r="B477" t="inlineStr">
        <is>
          <t>avverkningsanmälan</t>
        </is>
      </c>
      <c r="C477" t="inlineStr">
        <is>
          <t>Föryngringsavverkning</t>
        </is>
      </c>
      <c r="D477" s="1" t="n">
        <v>44951</v>
      </c>
      <c r="E477" s="1" t="n">
        <v>46218</v>
      </c>
      <c r="F477" t="inlineStr">
        <is>
          <t>KRONOBERGS LÄN</t>
        </is>
      </c>
      <c r="G477" t="inlineStr">
        <is>
          <t>UPPVIDINGE</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28391-2025</t>
        </is>
      </c>
      <c r="B478" t="inlineStr">
        <is>
          <t>avverkningsanmälan</t>
        </is>
      </c>
      <c r="C478" t="inlineStr">
        <is>
          <t>Föryngringsavverkning</t>
        </is>
      </c>
      <c r="D478" s="1" t="n">
        <v>45819</v>
      </c>
      <c r="E478" s="1" t="n">
        <v>46218</v>
      </c>
      <c r="F478" t="inlineStr">
        <is>
          <t>KRONOBERGS LÄN</t>
        </is>
      </c>
      <c r="G478" t="inlineStr">
        <is>
          <t>UPPVIDINGE</t>
        </is>
      </c>
      <c r="H478" t="inlineStr">
        <is>
          <t>Sveaskog</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44797-2023</t>
        </is>
      </c>
      <c r="B479" t="inlineStr">
        <is>
          <t>avverkningsanmälan</t>
        </is>
      </c>
      <c r="C479" t="inlineStr">
        <is>
          <t>Föryngringsavverkning</t>
        </is>
      </c>
      <c r="D479" s="1" t="n">
        <v>45190</v>
      </c>
      <c r="E479" s="1" t="n">
        <v>46218</v>
      </c>
      <c r="F479" t="inlineStr">
        <is>
          <t>KRONOBERGS LÄN</t>
        </is>
      </c>
      <c r="G479" t="inlineStr">
        <is>
          <t>UPPVIDINGE</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28490-2025</t>
        </is>
      </c>
      <c r="B480" t="inlineStr">
        <is>
          <t>avverkningsanmälan</t>
        </is>
      </c>
      <c r="C480" t="inlineStr">
        <is>
          <t>Föryngringsavverkning</t>
        </is>
      </c>
      <c r="D480" s="1" t="n">
        <v>45819</v>
      </c>
      <c r="E480" s="1" t="n">
        <v>46218</v>
      </c>
      <c r="F480" t="inlineStr">
        <is>
          <t>KRONOBERGS LÄN</t>
        </is>
      </c>
      <c r="G480" t="inlineStr">
        <is>
          <t>UPPVIDINGE</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57805-2025</t>
        </is>
      </c>
      <c r="B481" t="inlineStr">
        <is>
          <t>avverkningsanmälan</t>
        </is>
      </c>
      <c r="C481" t="inlineStr">
        <is>
          <t>Föryngringsavverkning</t>
        </is>
      </c>
      <c r="D481" s="1" t="n">
        <v>45981</v>
      </c>
      <c r="E481" s="1" t="n">
        <v>46218</v>
      </c>
      <c r="F481" t="inlineStr">
        <is>
          <t>KRONOBERGS LÄN</t>
        </is>
      </c>
      <c r="G481" t="inlineStr">
        <is>
          <t>UPPVIDINGE</t>
        </is>
      </c>
      <c r="H481" t="inlineStr">
        <is>
          <t>Sveaskog</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19601-2025</t>
        </is>
      </c>
      <c r="B482" t="inlineStr">
        <is>
          <t>avverkningsanmälan</t>
        </is>
      </c>
      <c r="C482" t="inlineStr">
        <is>
          <t>Föryngringsavverkning</t>
        </is>
      </c>
      <c r="D482" s="1" t="n">
        <v>45770</v>
      </c>
      <c r="E482" s="1" t="n">
        <v>46218</v>
      </c>
      <c r="F482" t="inlineStr">
        <is>
          <t>KRONOBERGS LÄN</t>
        </is>
      </c>
      <c r="G482" t="inlineStr">
        <is>
          <t>UPPVIDINGE</t>
        </is>
      </c>
      <c r="I482" t="n">
        <v>10.7</v>
      </c>
      <c r="J482" t="n">
        <v>0</v>
      </c>
      <c r="K482" t="n">
        <v>0</v>
      </c>
      <c r="L482" t="n">
        <v>0</v>
      </c>
      <c r="M482" t="n">
        <v>0</v>
      </c>
      <c r="N482" t="n">
        <v>0</v>
      </c>
      <c r="O482" t="n">
        <v>0</v>
      </c>
      <c r="P482" t="n">
        <v>0</v>
      </c>
      <c r="Q482" t="n">
        <v>0</v>
      </c>
      <c r="R482" t="n">
        <v>0</v>
      </c>
      <c r="S482" t="n">
        <v>0</v>
      </c>
      <c r="T482" t="n">
        <v>0</v>
      </c>
      <c r="U482" s="2" t="inlineStr"/>
    </row>
    <row r="483" ht="15" customHeight="1">
      <c r="A483" t="inlineStr">
        <is>
          <t>A 45229-2024</t>
        </is>
      </c>
      <c r="B483" t="inlineStr">
        <is>
          <t>avverkningsanmälan</t>
        </is>
      </c>
      <c r="C483" t="inlineStr">
        <is>
          <t>Föryngringsavverkning</t>
        </is>
      </c>
      <c r="D483" s="1" t="n">
        <v>45575</v>
      </c>
      <c r="E483" s="1" t="n">
        <v>46218</v>
      </c>
      <c r="F483" t="inlineStr">
        <is>
          <t>KRONOBERGS LÄN</t>
        </is>
      </c>
      <c r="G483" t="inlineStr">
        <is>
          <t>UPPVIDINGE</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57800-2025</t>
        </is>
      </c>
      <c r="B484" t="inlineStr">
        <is>
          <t>avverkningsanmälan</t>
        </is>
      </c>
      <c r="C484" t="inlineStr">
        <is>
          <t>Föryngringsavverkning</t>
        </is>
      </c>
      <c r="D484" s="1" t="n">
        <v>45981</v>
      </c>
      <c r="E484" s="1" t="n">
        <v>46218</v>
      </c>
      <c r="F484" t="inlineStr">
        <is>
          <t>KRONOBERGS LÄN</t>
        </is>
      </c>
      <c r="G484" t="inlineStr">
        <is>
          <t>UPPVIDINGE</t>
        </is>
      </c>
      <c r="H484" t="inlineStr">
        <is>
          <t>Sveaskog</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57807-2025</t>
        </is>
      </c>
      <c r="B485" t="inlineStr">
        <is>
          <t>avverkningsanmälan</t>
        </is>
      </c>
      <c r="C485" t="inlineStr">
        <is>
          <t>Föryngringsavverkning</t>
        </is>
      </c>
      <c r="D485" s="1" t="n">
        <v>45981</v>
      </c>
      <c r="E485" s="1" t="n">
        <v>46218</v>
      </c>
      <c r="F485" t="inlineStr">
        <is>
          <t>KRONOBERGS LÄN</t>
        </is>
      </c>
      <c r="G485" t="inlineStr">
        <is>
          <t>UPPVIDINGE</t>
        </is>
      </c>
      <c r="H485" t="inlineStr">
        <is>
          <t>Sveaskog</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38854-2024</t>
        </is>
      </c>
      <c r="B486" t="inlineStr">
        <is>
          <t>avverkningsanmälan</t>
        </is>
      </c>
      <c r="C486" t="inlineStr">
        <is>
          <t>Avverkning för annat ändamål</t>
        </is>
      </c>
      <c r="D486" s="1" t="n">
        <v>45547</v>
      </c>
      <c r="E486" s="1" t="n">
        <v>46218</v>
      </c>
      <c r="F486" t="inlineStr">
        <is>
          <t>KRONOBERGS LÄN</t>
        </is>
      </c>
      <c r="G486" t="inlineStr">
        <is>
          <t>UPPVIDINGE</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38855-2024</t>
        </is>
      </c>
      <c r="B487" t="inlineStr">
        <is>
          <t>avverkningsanmälan</t>
        </is>
      </c>
      <c r="C487" t="inlineStr">
        <is>
          <t>Avverkning för annat ändamål</t>
        </is>
      </c>
      <c r="D487" s="1" t="n">
        <v>45547</v>
      </c>
      <c r="E487" s="1" t="n">
        <v>46218</v>
      </c>
      <c r="F487" t="inlineStr">
        <is>
          <t>KRONOBERGS LÄN</t>
        </is>
      </c>
      <c r="G487" t="inlineStr">
        <is>
          <t>UPPVIDINGE</t>
        </is>
      </c>
      <c r="I487" t="n">
        <v>0.4</v>
      </c>
      <c r="J487" t="n">
        <v>0</v>
      </c>
      <c r="K487" t="n">
        <v>0</v>
      </c>
      <c r="L487" t="n">
        <v>0</v>
      </c>
      <c r="M487" t="n">
        <v>0</v>
      </c>
      <c r="N487" t="n">
        <v>0</v>
      </c>
      <c r="O487" t="n">
        <v>0</v>
      </c>
      <c r="P487" t="n">
        <v>0</v>
      </c>
      <c r="Q487" t="n">
        <v>0</v>
      </c>
      <c r="R487" t="n">
        <v>0</v>
      </c>
      <c r="S487" t="n">
        <v>0</v>
      </c>
      <c r="T487" t="n">
        <v>0</v>
      </c>
      <c r="U487" s="2" t="inlineStr"/>
    </row>
    <row r="488" ht="15" customHeight="1">
      <c r="A488" t="inlineStr">
        <is>
          <t>A 60599-2024</t>
        </is>
      </c>
      <c r="B488" t="inlineStr">
        <is>
          <t>avverkningsanmälan</t>
        </is>
      </c>
      <c r="C488" t="inlineStr">
        <is>
          <t>Föryngringsavverkning</t>
        </is>
      </c>
      <c r="D488" s="1" t="n">
        <v>45644</v>
      </c>
      <c r="E488" s="1" t="n">
        <v>46218</v>
      </c>
      <c r="F488" t="inlineStr">
        <is>
          <t>KRONOBERGS LÄN</t>
        </is>
      </c>
      <c r="G488" t="inlineStr">
        <is>
          <t>UPPVIDINGE</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4799-2025</t>
        </is>
      </c>
      <c r="B489" t="inlineStr">
        <is>
          <t>avverkningsanmälan</t>
        </is>
      </c>
      <c r="C489" t="inlineStr">
        <is>
          <t>Föryngringsavverkning</t>
        </is>
      </c>
      <c r="D489" s="1" t="n">
        <v>45688</v>
      </c>
      <c r="E489" s="1" t="n">
        <v>46218</v>
      </c>
      <c r="F489" t="inlineStr">
        <is>
          <t>KRONOBERGS LÄN</t>
        </is>
      </c>
      <c r="G489" t="inlineStr">
        <is>
          <t>UPPVIDINGE</t>
        </is>
      </c>
      <c r="H489" t="inlineStr">
        <is>
          <t>Sveaskog</t>
        </is>
      </c>
      <c r="I489" t="n">
        <v>6.8</v>
      </c>
      <c r="J489" t="n">
        <v>0</v>
      </c>
      <c r="K489" t="n">
        <v>0</v>
      </c>
      <c r="L489" t="n">
        <v>0</v>
      </c>
      <c r="M489" t="n">
        <v>0</v>
      </c>
      <c r="N489" t="n">
        <v>0</v>
      </c>
      <c r="O489" t="n">
        <v>0</v>
      </c>
      <c r="P489" t="n">
        <v>0</v>
      </c>
      <c r="Q489" t="n">
        <v>0</v>
      </c>
      <c r="R489" t="n">
        <v>0</v>
      </c>
      <c r="S489" t="n">
        <v>0</v>
      </c>
      <c r="T489" t="n">
        <v>0</v>
      </c>
      <c r="U489" s="2" t="inlineStr"/>
    </row>
    <row r="490" ht="15" customHeight="1">
      <c r="A490" t="inlineStr">
        <is>
          <t>A 53434-2021</t>
        </is>
      </c>
      <c r="B490" t="inlineStr">
        <is>
          <t>avverkningsanmälan</t>
        </is>
      </c>
      <c r="C490" t="inlineStr">
        <is>
          <t>Föryngringsavverkning</t>
        </is>
      </c>
      <c r="D490" s="1" t="n">
        <v>44468</v>
      </c>
      <c r="E490" s="1" t="n">
        <v>46218</v>
      </c>
      <c r="F490" t="inlineStr">
        <is>
          <t>KRONOBERGS LÄN</t>
        </is>
      </c>
      <c r="G490" t="inlineStr">
        <is>
          <t>UPPVIDINGE</t>
        </is>
      </c>
      <c r="I490" t="n">
        <v>5.1</v>
      </c>
      <c r="J490" t="n">
        <v>0</v>
      </c>
      <c r="K490" t="n">
        <v>0</v>
      </c>
      <c r="L490" t="n">
        <v>0</v>
      </c>
      <c r="M490" t="n">
        <v>0</v>
      </c>
      <c r="N490" t="n">
        <v>0</v>
      </c>
      <c r="O490" t="n">
        <v>0</v>
      </c>
      <c r="P490" t="n">
        <v>0</v>
      </c>
      <c r="Q490" t="n">
        <v>0</v>
      </c>
      <c r="R490" t="n">
        <v>0</v>
      </c>
      <c r="S490" t="n">
        <v>0</v>
      </c>
      <c r="T490" t="n">
        <v>0</v>
      </c>
      <c r="U490" s="2" t="inlineStr"/>
    </row>
    <row r="491" ht="15" customHeight="1">
      <c r="A491" t="inlineStr">
        <is>
          <t>A 13088-2025</t>
        </is>
      </c>
      <c r="B491" t="inlineStr">
        <is>
          <t>avverkningsanmälan</t>
        </is>
      </c>
      <c r="C491" t="inlineStr">
        <is>
          <t>Föryngringsavverkning</t>
        </is>
      </c>
      <c r="D491" s="1" t="n">
        <v>45734</v>
      </c>
      <c r="E491" s="1" t="n">
        <v>46218</v>
      </c>
      <c r="F491" t="inlineStr">
        <is>
          <t>KRONOBERGS LÄN</t>
        </is>
      </c>
      <c r="G491" t="inlineStr">
        <is>
          <t>UPPVIDINGE</t>
        </is>
      </c>
      <c r="I491" t="n">
        <v>2.7</v>
      </c>
      <c r="J491" t="n">
        <v>0</v>
      </c>
      <c r="K491" t="n">
        <v>0</v>
      </c>
      <c r="L491" t="n">
        <v>0</v>
      </c>
      <c r="M491" t="n">
        <v>0</v>
      </c>
      <c r="N491" t="n">
        <v>0</v>
      </c>
      <c r="O491" t="n">
        <v>0</v>
      </c>
      <c r="P491" t="n">
        <v>0</v>
      </c>
      <c r="Q491" t="n">
        <v>0</v>
      </c>
      <c r="R491" t="n">
        <v>0</v>
      </c>
      <c r="S491" t="n">
        <v>0</v>
      </c>
      <c r="T491" t="n">
        <v>0</v>
      </c>
      <c r="U491" s="2" t="inlineStr"/>
    </row>
    <row r="492" ht="15" customHeight="1">
      <c r="A492" t="inlineStr">
        <is>
          <t>A 25806-2025</t>
        </is>
      </c>
      <c r="B492" t="inlineStr">
        <is>
          <t>avverkningsanmälan</t>
        </is>
      </c>
      <c r="C492" t="inlineStr">
        <is>
          <t>Föryngringsavverkning</t>
        </is>
      </c>
      <c r="D492" s="1" t="n">
        <v>45804</v>
      </c>
      <c r="E492" s="1" t="n">
        <v>46218</v>
      </c>
      <c r="F492" t="inlineStr">
        <is>
          <t>KRONOBERGS LÄN</t>
        </is>
      </c>
      <c r="G492" t="inlineStr">
        <is>
          <t>UPPVIDINGE</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29980-2025</t>
        </is>
      </c>
      <c r="B493" t="inlineStr">
        <is>
          <t>avverkningsanmälan</t>
        </is>
      </c>
      <c r="C493" t="inlineStr">
        <is>
          <t>Föryngringsavverkning</t>
        </is>
      </c>
      <c r="D493" s="1" t="n">
        <v>45826</v>
      </c>
      <c r="E493" s="1" t="n">
        <v>46218</v>
      </c>
      <c r="F493" t="inlineStr">
        <is>
          <t>KRONOBERGS LÄN</t>
        </is>
      </c>
      <c r="G493" t="inlineStr">
        <is>
          <t>UPPVIDINGE</t>
        </is>
      </c>
      <c r="I493" t="n">
        <v>4.1</v>
      </c>
      <c r="J493" t="n">
        <v>0</v>
      </c>
      <c r="K493" t="n">
        <v>0</v>
      </c>
      <c r="L493" t="n">
        <v>0</v>
      </c>
      <c r="M493" t="n">
        <v>0</v>
      </c>
      <c r="N493" t="n">
        <v>0</v>
      </c>
      <c r="O493" t="n">
        <v>0</v>
      </c>
      <c r="P493" t="n">
        <v>0</v>
      </c>
      <c r="Q493" t="n">
        <v>0</v>
      </c>
      <c r="R493" t="n">
        <v>0</v>
      </c>
      <c r="S493" t="n">
        <v>0</v>
      </c>
      <c r="T493" t="n">
        <v>0</v>
      </c>
      <c r="U493" s="2" t="inlineStr"/>
    </row>
    <row r="494" ht="15" customHeight="1">
      <c r="A494" t="inlineStr">
        <is>
          <t>A 8430-2025</t>
        </is>
      </c>
      <c r="B494" t="inlineStr">
        <is>
          <t>avverkningsanmälan</t>
        </is>
      </c>
      <c r="C494" t="inlineStr">
        <is>
          <t>Föryngringsavverkning</t>
        </is>
      </c>
      <c r="D494" s="1" t="n">
        <v>45709</v>
      </c>
      <c r="E494" s="1" t="n">
        <v>46218</v>
      </c>
      <c r="F494" t="inlineStr">
        <is>
          <t>KRONOBERGS LÄN</t>
        </is>
      </c>
      <c r="G494" t="inlineStr">
        <is>
          <t>UPPVIDINGE</t>
        </is>
      </c>
      <c r="H494" t="inlineStr">
        <is>
          <t>Sveaskog</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37397-2025</t>
        </is>
      </c>
      <c r="B495" t="inlineStr">
        <is>
          <t>avverkningsanmälan</t>
        </is>
      </c>
      <c r="C495" t="inlineStr">
        <is>
          <t>Föryngringsavverkning</t>
        </is>
      </c>
      <c r="D495" s="1" t="n">
        <v>45877</v>
      </c>
      <c r="E495" s="1" t="n">
        <v>46218</v>
      </c>
      <c r="F495" t="inlineStr">
        <is>
          <t>KRONOBERGS LÄN</t>
        </is>
      </c>
      <c r="G495" t="inlineStr">
        <is>
          <t>UPPVIDINGE</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29989-2025</t>
        </is>
      </c>
      <c r="B496" t="inlineStr">
        <is>
          <t>avverkningsanmälan</t>
        </is>
      </c>
      <c r="C496" t="inlineStr">
        <is>
          <t>Föryngringsavverkning</t>
        </is>
      </c>
      <c r="D496" s="1" t="n">
        <v>45826</v>
      </c>
      <c r="E496" s="1" t="n">
        <v>46218</v>
      </c>
      <c r="F496" t="inlineStr">
        <is>
          <t>KRONOBERGS LÄN</t>
        </is>
      </c>
      <c r="G496" t="inlineStr">
        <is>
          <t>UPPVIDINGE</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27843-2023</t>
        </is>
      </c>
      <c r="B497" t="inlineStr">
        <is>
          <t>avverkningsanmälan</t>
        </is>
      </c>
      <c r="C497" t="inlineStr">
        <is>
          <t>Föryngringsavverkning</t>
        </is>
      </c>
      <c r="D497" s="1" t="n">
        <v>45098</v>
      </c>
      <c r="E497" s="1" t="n">
        <v>46218</v>
      </c>
      <c r="F497" t="inlineStr">
        <is>
          <t>KRONOBERGS LÄN</t>
        </is>
      </c>
      <c r="G497" t="inlineStr">
        <is>
          <t>UPPVIDINGE</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29992-2025</t>
        </is>
      </c>
      <c r="B498" t="inlineStr">
        <is>
          <t>avverkningsanmälan</t>
        </is>
      </c>
      <c r="C498" t="inlineStr">
        <is>
          <t>Föryngringsavverkning</t>
        </is>
      </c>
      <c r="D498" s="1" t="n">
        <v>45826</v>
      </c>
      <c r="E498" s="1" t="n">
        <v>46218</v>
      </c>
      <c r="F498" t="inlineStr">
        <is>
          <t>KRONOBERGS LÄN</t>
        </is>
      </c>
      <c r="G498" t="inlineStr">
        <is>
          <t>UPPVIDINGE</t>
        </is>
      </c>
      <c r="I498" t="n">
        <v>5.5</v>
      </c>
      <c r="J498" t="n">
        <v>0</v>
      </c>
      <c r="K498" t="n">
        <v>0</v>
      </c>
      <c r="L498" t="n">
        <v>0</v>
      </c>
      <c r="M498" t="n">
        <v>0</v>
      </c>
      <c r="N498" t="n">
        <v>0</v>
      </c>
      <c r="O498" t="n">
        <v>0</v>
      </c>
      <c r="P498" t="n">
        <v>0</v>
      </c>
      <c r="Q498" t="n">
        <v>0</v>
      </c>
      <c r="R498" t="n">
        <v>0</v>
      </c>
      <c r="S498" t="n">
        <v>0</v>
      </c>
      <c r="T498" t="n">
        <v>0</v>
      </c>
      <c r="U498" s="2" t="inlineStr"/>
    </row>
    <row r="499" ht="15" customHeight="1">
      <c r="A499" t="inlineStr">
        <is>
          <t>A 15925-2025</t>
        </is>
      </c>
      <c r="B499" t="inlineStr">
        <is>
          <t>avverkningsanmälan</t>
        </is>
      </c>
      <c r="C499" t="inlineStr">
        <is>
          <t>Föryngringsavverkning</t>
        </is>
      </c>
      <c r="D499" s="1" t="n">
        <v>45749</v>
      </c>
      <c r="E499" s="1" t="n">
        <v>46218</v>
      </c>
      <c r="F499" t="inlineStr">
        <is>
          <t>KRONOBERGS LÄN</t>
        </is>
      </c>
      <c r="G499" t="inlineStr">
        <is>
          <t>UPPVIDINGE</t>
        </is>
      </c>
      <c r="I499" t="n">
        <v>5</v>
      </c>
      <c r="J499" t="n">
        <v>0</v>
      </c>
      <c r="K499" t="n">
        <v>0</v>
      </c>
      <c r="L499" t="n">
        <v>0</v>
      </c>
      <c r="M499" t="n">
        <v>0</v>
      </c>
      <c r="N499" t="n">
        <v>0</v>
      </c>
      <c r="O499" t="n">
        <v>0</v>
      </c>
      <c r="P499" t="n">
        <v>0</v>
      </c>
      <c r="Q499" t="n">
        <v>0</v>
      </c>
      <c r="R499" t="n">
        <v>0</v>
      </c>
      <c r="S499" t="n">
        <v>0</v>
      </c>
      <c r="T499" t="n">
        <v>0</v>
      </c>
      <c r="U499" s="2" t="inlineStr"/>
    </row>
    <row r="500" ht="15" customHeight="1">
      <c r="A500" t="inlineStr">
        <is>
          <t>A 939-2025</t>
        </is>
      </c>
      <c r="B500" t="inlineStr">
        <is>
          <t>avverkningsanmälan</t>
        </is>
      </c>
      <c r="C500" t="inlineStr">
        <is>
          <t>Föryngringsavverkning</t>
        </is>
      </c>
      <c r="D500" s="1" t="n">
        <v>45666</v>
      </c>
      <c r="E500" s="1" t="n">
        <v>46218</v>
      </c>
      <c r="F500" t="inlineStr">
        <is>
          <t>KRONOBERGS LÄN</t>
        </is>
      </c>
      <c r="G500" t="inlineStr">
        <is>
          <t>UPPVIDINGE</t>
        </is>
      </c>
      <c r="I500" t="n">
        <v>4</v>
      </c>
      <c r="J500" t="n">
        <v>0</v>
      </c>
      <c r="K500" t="n">
        <v>0</v>
      </c>
      <c r="L500" t="n">
        <v>0</v>
      </c>
      <c r="M500" t="n">
        <v>0</v>
      </c>
      <c r="N500" t="n">
        <v>0</v>
      </c>
      <c r="O500" t="n">
        <v>0</v>
      </c>
      <c r="P500" t="n">
        <v>0</v>
      </c>
      <c r="Q500" t="n">
        <v>0</v>
      </c>
      <c r="R500" t="n">
        <v>0</v>
      </c>
      <c r="S500" t="n">
        <v>0</v>
      </c>
      <c r="T500" t="n">
        <v>0</v>
      </c>
      <c r="U500" s="2" t="inlineStr"/>
    </row>
    <row r="501" ht="15" customHeight="1">
      <c r="A501" t="inlineStr">
        <is>
          <t>A 30983-2025</t>
        </is>
      </c>
      <c r="B501" t="inlineStr">
        <is>
          <t>avverkningsanmälan</t>
        </is>
      </c>
      <c r="C501" t="inlineStr">
        <is>
          <t>Föryngringsavverkning</t>
        </is>
      </c>
      <c r="D501" s="1" t="n">
        <v>45832</v>
      </c>
      <c r="E501" s="1" t="n">
        <v>46218</v>
      </c>
      <c r="F501" t="inlineStr">
        <is>
          <t>KRONOBERGS LÄN</t>
        </is>
      </c>
      <c r="G501" t="inlineStr">
        <is>
          <t>UPPVIDINGE</t>
        </is>
      </c>
      <c r="H501" t="inlineStr">
        <is>
          <t>Sveaskog</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15406-2023</t>
        </is>
      </c>
      <c r="B502" t="inlineStr">
        <is>
          <t>avverkningsanmälan</t>
        </is>
      </c>
      <c r="C502" t="inlineStr">
        <is>
          <t>Föryngringsavverkning</t>
        </is>
      </c>
      <c r="D502" s="1" t="n">
        <v>45019</v>
      </c>
      <c r="E502" s="1" t="n">
        <v>46218</v>
      </c>
      <c r="F502" t="inlineStr">
        <is>
          <t>KRONOBERGS LÄN</t>
        </is>
      </c>
      <c r="G502" t="inlineStr">
        <is>
          <t>UPPVIDINGE</t>
        </is>
      </c>
      <c r="I502" t="n">
        <v>3.7</v>
      </c>
      <c r="J502" t="n">
        <v>0</v>
      </c>
      <c r="K502" t="n">
        <v>0</v>
      </c>
      <c r="L502" t="n">
        <v>0</v>
      </c>
      <c r="M502" t="n">
        <v>0</v>
      </c>
      <c r="N502" t="n">
        <v>0</v>
      </c>
      <c r="O502" t="n">
        <v>0</v>
      </c>
      <c r="P502" t="n">
        <v>0</v>
      </c>
      <c r="Q502" t="n">
        <v>0</v>
      </c>
      <c r="R502" t="n">
        <v>0</v>
      </c>
      <c r="S502" t="n">
        <v>0</v>
      </c>
      <c r="T502" t="n">
        <v>0</v>
      </c>
      <c r="U502" s="2" t="inlineStr"/>
    </row>
    <row r="503" ht="15" customHeight="1">
      <c r="A503" t="inlineStr">
        <is>
          <t>A 58247-2025</t>
        </is>
      </c>
      <c r="B503" t="inlineStr">
        <is>
          <t>avverkningsanmälan</t>
        </is>
      </c>
      <c r="C503" t="inlineStr">
        <is>
          <t>Föryngringsavverkning</t>
        </is>
      </c>
      <c r="D503" s="1" t="n">
        <v>45985</v>
      </c>
      <c r="E503" s="1" t="n">
        <v>46218</v>
      </c>
      <c r="F503" t="inlineStr">
        <is>
          <t>KRONOBERGS LÄN</t>
        </is>
      </c>
      <c r="G503" t="inlineStr">
        <is>
          <t>UPPVIDINGE</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58472-2025</t>
        </is>
      </c>
      <c r="B504" t="inlineStr">
        <is>
          <t>avverkningsanmälan</t>
        </is>
      </c>
      <c r="C504" t="inlineStr">
        <is>
          <t>Föryngringsavverkning</t>
        </is>
      </c>
      <c r="D504" s="1" t="n">
        <v>45985</v>
      </c>
      <c r="E504" s="1" t="n">
        <v>46218</v>
      </c>
      <c r="F504" t="inlineStr">
        <is>
          <t>KRONOBERGS LÄN</t>
        </is>
      </c>
      <c r="G504" t="inlineStr">
        <is>
          <t>UPPVIDINGE</t>
        </is>
      </c>
      <c r="I504" t="n">
        <v>2.7</v>
      </c>
      <c r="J504" t="n">
        <v>0</v>
      </c>
      <c r="K504" t="n">
        <v>0</v>
      </c>
      <c r="L504" t="n">
        <v>0</v>
      </c>
      <c r="M504" t="n">
        <v>0</v>
      </c>
      <c r="N504" t="n">
        <v>0</v>
      </c>
      <c r="O504" t="n">
        <v>0</v>
      </c>
      <c r="P504" t="n">
        <v>0</v>
      </c>
      <c r="Q504" t="n">
        <v>0</v>
      </c>
      <c r="R504" t="n">
        <v>0</v>
      </c>
      <c r="S504" t="n">
        <v>0</v>
      </c>
      <c r="T504" t="n">
        <v>0</v>
      </c>
      <c r="U504" s="2" t="inlineStr"/>
    </row>
    <row r="505" ht="15" customHeight="1">
      <c r="A505" t="inlineStr">
        <is>
          <t>A 58245-2025</t>
        </is>
      </c>
      <c r="B505" t="inlineStr">
        <is>
          <t>avverkningsanmälan</t>
        </is>
      </c>
      <c r="C505" t="inlineStr">
        <is>
          <t>Föryngringsavverkning</t>
        </is>
      </c>
      <c r="D505" s="1" t="n">
        <v>45985</v>
      </c>
      <c r="E505" s="1" t="n">
        <v>46218</v>
      </c>
      <c r="F505" t="inlineStr">
        <is>
          <t>KRONOBERGS LÄN</t>
        </is>
      </c>
      <c r="G505" t="inlineStr">
        <is>
          <t>UPPVIDINGE</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47858-2023</t>
        </is>
      </c>
      <c r="B506" t="inlineStr">
        <is>
          <t>avverkningsanmälan</t>
        </is>
      </c>
      <c r="C506" t="inlineStr">
        <is>
          <t>Föryngringsavverkning</t>
        </is>
      </c>
      <c r="D506" s="1" t="n">
        <v>45204</v>
      </c>
      <c r="E506" s="1" t="n">
        <v>46218</v>
      </c>
      <c r="F506" t="inlineStr">
        <is>
          <t>KRONOBERGS LÄN</t>
        </is>
      </c>
      <c r="G506" t="inlineStr">
        <is>
          <t>UPPVIDINGE</t>
        </is>
      </c>
      <c r="I506" t="n">
        <v>2.5</v>
      </c>
      <c r="J506" t="n">
        <v>0</v>
      </c>
      <c r="K506" t="n">
        <v>0</v>
      </c>
      <c r="L506" t="n">
        <v>0</v>
      </c>
      <c r="M506" t="n">
        <v>0</v>
      </c>
      <c r="N506" t="n">
        <v>0</v>
      </c>
      <c r="O506" t="n">
        <v>0</v>
      </c>
      <c r="P506" t="n">
        <v>0</v>
      </c>
      <c r="Q506" t="n">
        <v>0</v>
      </c>
      <c r="R506" t="n">
        <v>0</v>
      </c>
      <c r="S506" t="n">
        <v>0</v>
      </c>
      <c r="T506" t="n">
        <v>0</v>
      </c>
      <c r="U506" s="2" t="inlineStr"/>
    </row>
    <row r="507" ht="15" customHeight="1">
      <c r="A507" t="inlineStr">
        <is>
          <t>A 34631-2023</t>
        </is>
      </c>
      <c r="B507" t="inlineStr">
        <is>
          <t>avverkningsanmälan</t>
        </is>
      </c>
      <c r="C507" t="inlineStr">
        <is>
          <t>Föryngringsavverkning</t>
        </is>
      </c>
      <c r="D507" s="1" t="n">
        <v>45140</v>
      </c>
      <c r="E507" s="1" t="n">
        <v>46218</v>
      </c>
      <c r="F507" t="inlineStr">
        <is>
          <t>KRONOBERGS LÄN</t>
        </is>
      </c>
      <c r="G507" t="inlineStr">
        <is>
          <t>UPPVIDINGE</t>
        </is>
      </c>
      <c r="I507" t="n">
        <v>4.3</v>
      </c>
      <c r="J507" t="n">
        <v>0</v>
      </c>
      <c r="K507" t="n">
        <v>0</v>
      </c>
      <c r="L507" t="n">
        <v>0</v>
      </c>
      <c r="M507" t="n">
        <v>0</v>
      </c>
      <c r="N507" t="n">
        <v>0</v>
      </c>
      <c r="O507" t="n">
        <v>0</v>
      </c>
      <c r="P507" t="n">
        <v>0</v>
      </c>
      <c r="Q507" t="n">
        <v>0</v>
      </c>
      <c r="R507" t="n">
        <v>0</v>
      </c>
      <c r="S507" t="n">
        <v>0</v>
      </c>
      <c r="T507" t="n">
        <v>0</v>
      </c>
      <c r="U507" s="2" t="inlineStr"/>
    </row>
    <row r="508" ht="15" customHeight="1">
      <c r="A508" t="inlineStr">
        <is>
          <t>A 40953-2025</t>
        </is>
      </c>
      <c r="B508" t="inlineStr">
        <is>
          <t>avverkningsanmälan</t>
        </is>
      </c>
      <c r="C508" t="inlineStr">
        <is>
          <t>Föryngringsavverkning</t>
        </is>
      </c>
      <c r="D508" s="1" t="n">
        <v>45897</v>
      </c>
      <c r="E508" s="1" t="n">
        <v>46218</v>
      </c>
      <c r="F508" t="inlineStr">
        <is>
          <t>KRONOBERGS LÄN</t>
        </is>
      </c>
      <c r="G508" t="inlineStr">
        <is>
          <t>UPPVIDINGE</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63722-2025</t>
        </is>
      </c>
      <c r="B509" t="inlineStr">
        <is>
          <t>avverkningsanmälan</t>
        </is>
      </c>
      <c r="C509" t="inlineStr">
        <is>
          <t>Föryngringsavverkning</t>
        </is>
      </c>
      <c r="D509" s="1" t="n">
        <v>46010</v>
      </c>
      <c r="E509" s="1" t="n">
        <v>46218</v>
      </c>
      <c r="F509" t="inlineStr">
        <is>
          <t>KRONOBERGS LÄN</t>
        </is>
      </c>
      <c r="G509" t="inlineStr">
        <is>
          <t>UPPVIDINGE</t>
        </is>
      </c>
      <c r="H509" t="inlineStr">
        <is>
          <t>Kyrkan</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26113-2026</t>
        </is>
      </c>
      <c r="B510" t="inlineStr">
        <is>
          <t>avverkningsanmälan</t>
        </is>
      </c>
      <c r="C510" t="inlineStr">
        <is>
          <t>Föryngringsavverkning</t>
        </is>
      </c>
      <c r="D510" s="1" t="n">
        <v>46181</v>
      </c>
      <c r="E510" s="1" t="n">
        <v>46218</v>
      </c>
      <c r="F510" t="inlineStr">
        <is>
          <t>KRONOBERGS LÄN</t>
        </is>
      </c>
      <c r="G510" t="inlineStr">
        <is>
          <t>UPPVIDINGE</t>
        </is>
      </c>
      <c r="I510" t="n">
        <v>6.7</v>
      </c>
      <c r="J510" t="n">
        <v>0</v>
      </c>
      <c r="K510" t="n">
        <v>0</v>
      </c>
      <c r="L510" t="n">
        <v>0</v>
      </c>
      <c r="M510" t="n">
        <v>0</v>
      </c>
      <c r="N510" t="n">
        <v>0</v>
      </c>
      <c r="O510" t="n">
        <v>0</v>
      </c>
      <c r="P510" t="n">
        <v>0</v>
      </c>
      <c r="Q510" t="n">
        <v>0</v>
      </c>
      <c r="R510" t="n">
        <v>0</v>
      </c>
      <c r="S510" t="n">
        <v>0</v>
      </c>
      <c r="T510" t="n">
        <v>0</v>
      </c>
      <c r="U510" s="2" t="inlineStr"/>
    </row>
    <row r="511" ht="15" customHeight="1">
      <c r="A511" t="inlineStr">
        <is>
          <t>A 19189-2025</t>
        </is>
      </c>
      <c r="B511" t="inlineStr">
        <is>
          <t>avverkningsanmälan</t>
        </is>
      </c>
      <c r="C511" t="inlineStr">
        <is>
          <t>Föryngringsavverkning</t>
        </is>
      </c>
      <c r="D511" s="1" t="n">
        <v>45769</v>
      </c>
      <c r="E511" s="1" t="n">
        <v>46218</v>
      </c>
      <c r="F511" t="inlineStr">
        <is>
          <t>KRONOBERGS LÄN</t>
        </is>
      </c>
      <c r="G511" t="inlineStr">
        <is>
          <t>UPPVIDINGE</t>
        </is>
      </c>
      <c r="I511" t="n">
        <v>3.6</v>
      </c>
      <c r="J511" t="n">
        <v>0</v>
      </c>
      <c r="K511" t="n">
        <v>0</v>
      </c>
      <c r="L511" t="n">
        <v>0</v>
      </c>
      <c r="M511" t="n">
        <v>0</v>
      </c>
      <c r="N511" t="n">
        <v>0</v>
      </c>
      <c r="O511" t="n">
        <v>0</v>
      </c>
      <c r="P511" t="n">
        <v>0</v>
      </c>
      <c r="Q511" t="n">
        <v>0</v>
      </c>
      <c r="R511" t="n">
        <v>0</v>
      </c>
      <c r="S511" t="n">
        <v>0</v>
      </c>
      <c r="T511" t="n">
        <v>0</v>
      </c>
      <c r="U511" s="2" t="inlineStr"/>
    </row>
    <row r="512" ht="15" customHeight="1">
      <c r="A512" t="inlineStr">
        <is>
          <t>A 53698-2023</t>
        </is>
      </c>
      <c r="B512" t="inlineStr">
        <is>
          <t>avverkningsanmälan</t>
        </is>
      </c>
      <c r="C512" t="inlineStr">
        <is>
          <t>Föryngringsavverkning</t>
        </is>
      </c>
      <c r="D512" s="1" t="n">
        <v>45230</v>
      </c>
      <c r="E512" s="1" t="n">
        <v>46218</v>
      </c>
      <c r="F512" t="inlineStr">
        <is>
          <t>KRONOBERGS LÄN</t>
        </is>
      </c>
      <c r="G512" t="inlineStr">
        <is>
          <t>UPPVIDINGE</t>
        </is>
      </c>
      <c r="H512" t="inlineStr">
        <is>
          <t>Sveaskog</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44069-2025</t>
        </is>
      </c>
      <c r="B513" t="inlineStr">
        <is>
          <t>avverkningsanmälan</t>
        </is>
      </c>
      <c r="C513" t="inlineStr">
        <is>
          <t>Föryngringsavverkning</t>
        </is>
      </c>
      <c r="D513" s="1" t="n">
        <v>45915</v>
      </c>
      <c r="E513" s="1" t="n">
        <v>46218</v>
      </c>
      <c r="F513" t="inlineStr">
        <is>
          <t>KRONOBERGS LÄN</t>
        </is>
      </c>
      <c r="G513" t="inlineStr">
        <is>
          <t>UPPVIDINGE</t>
        </is>
      </c>
      <c r="I513" t="n">
        <v>2.4</v>
      </c>
      <c r="J513" t="n">
        <v>0</v>
      </c>
      <c r="K513" t="n">
        <v>0</v>
      </c>
      <c r="L513" t="n">
        <v>0</v>
      </c>
      <c r="M513" t="n">
        <v>0</v>
      </c>
      <c r="N513" t="n">
        <v>0</v>
      </c>
      <c r="O513" t="n">
        <v>0</v>
      </c>
      <c r="P513" t="n">
        <v>0</v>
      </c>
      <c r="Q513" t="n">
        <v>0</v>
      </c>
      <c r="R513" t="n">
        <v>0</v>
      </c>
      <c r="S513" t="n">
        <v>0</v>
      </c>
      <c r="T513" t="n">
        <v>0</v>
      </c>
      <c r="U513" s="2" t="inlineStr"/>
    </row>
    <row r="514" ht="15" customHeight="1">
      <c r="A514" t="inlineStr">
        <is>
          <t>A 330-2024</t>
        </is>
      </c>
      <c r="B514" t="inlineStr">
        <is>
          <t>avverkningsanmälan</t>
        </is>
      </c>
      <c r="C514" t="inlineStr">
        <is>
          <t>Föryngringsavverkning</t>
        </is>
      </c>
      <c r="D514" s="1" t="n">
        <v>45295</v>
      </c>
      <c r="E514" s="1" t="n">
        <v>46218</v>
      </c>
      <c r="F514" t="inlineStr">
        <is>
          <t>KRONOBERGS LÄN</t>
        </is>
      </c>
      <c r="G514" t="inlineStr">
        <is>
          <t>UPPVIDINGE</t>
        </is>
      </c>
      <c r="H514" t="inlineStr">
        <is>
          <t>Sveaskog</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60041-2024</t>
        </is>
      </c>
      <c r="B515" t="inlineStr">
        <is>
          <t>avverkningsanmälan</t>
        </is>
      </c>
      <c r="C515" t="inlineStr">
        <is>
          <t>Föryngringsavverkning</t>
        </is>
      </c>
      <c r="D515" s="1" t="n">
        <v>45642</v>
      </c>
      <c r="E515" s="1" t="n">
        <v>46218</v>
      </c>
      <c r="F515" t="inlineStr">
        <is>
          <t>KRONOBERGS LÄN</t>
        </is>
      </c>
      <c r="G515" t="inlineStr">
        <is>
          <t>UPPVIDINGE</t>
        </is>
      </c>
      <c r="H515" t="inlineStr">
        <is>
          <t>Sveaskog</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49965-2025</t>
        </is>
      </c>
      <c r="B516" t="inlineStr">
        <is>
          <t>avverkningsanmälan</t>
        </is>
      </c>
      <c r="C516" t="inlineStr">
        <is>
          <t>Föryngringsavverkning</t>
        </is>
      </c>
      <c r="D516" s="1" t="n">
        <v>45941</v>
      </c>
      <c r="E516" s="1" t="n">
        <v>46218</v>
      </c>
      <c r="F516" t="inlineStr">
        <is>
          <t>KRONOBERGS LÄN</t>
        </is>
      </c>
      <c r="G516" t="inlineStr">
        <is>
          <t>UPPVIDINGE</t>
        </is>
      </c>
      <c r="H516" t="inlineStr">
        <is>
          <t>Sveaskog</t>
        </is>
      </c>
      <c r="I516" t="n">
        <v>5.9</v>
      </c>
      <c r="J516" t="n">
        <v>0</v>
      </c>
      <c r="K516" t="n">
        <v>0</v>
      </c>
      <c r="L516" t="n">
        <v>0</v>
      </c>
      <c r="M516" t="n">
        <v>0</v>
      </c>
      <c r="N516" t="n">
        <v>0</v>
      </c>
      <c r="O516" t="n">
        <v>0</v>
      </c>
      <c r="P516" t="n">
        <v>0</v>
      </c>
      <c r="Q516" t="n">
        <v>0</v>
      </c>
      <c r="R516" t="n">
        <v>0</v>
      </c>
      <c r="S516" t="n">
        <v>0</v>
      </c>
      <c r="T516" t="n">
        <v>0</v>
      </c>
      <c r="U516" s="2" t="inlineStr"/>
    </row>
    <row r="517" ht="15" customHeight="1">
      <c r="A517" t="inlineStr">
        <is>
          <t>A 60370-2021</t>
        </is>
      </c>
      <c r="B517" t="inlineStr">
        <is>
          <t>avverkningsanmälan</t>
        </is>
      </c>
      <c r="C517" t="inlineStr">
        <is>
          <t>Föryngringsavverkning</t>
        </is>
      </c>
      <c r="D517" s="1" t="n">
        <v>44496</v>
      </c>
      <c r="E517" s="1" t="n">
        <v>46218</v>
      </c>
      <c r="F517" t="inlineStr">
        <is>
          <t>KRONOBERGS LÄN</t>
        </is>
      </c>
      <c r="G517" t="inlineStr">
        <is>
          <t>UPPVIDINGE</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37028-2023</t>
        </is>
      </c>
      <c r="B518" t="inlineStr">
        <is>
          <t>avverkningsanmälan</t>
        </is>
      </c>
      <c r="C518" t="inlineStr">
        <is>
          <t>Föryngringsavverkning</t>
        </is>
      </c>
      <c r="D518" s="1" t="n">
        <v>45155</v>
      </c>
      <c r="E518" s="1" t="n">
        <v>46218</v>
      </c>
      <c r="F518" t="inlineStr">
        <is>
          <t>KRONOBERGS LÄN</t>
        </is>
      </c>
      <c r="G518" t="inlineStr">
        <is>
          <t>UPPVIDINGE</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31445-2023</t>
        </is>
      </c>
      <c r="B519" t="inlineStr">
        <is>
          <t>avverkningsanmälan</t>
        </is>
      </c>
      <c r="C519" t="inlineStr">
        <is>
          <t>Föryngringsavverkning</t>
        </is>
      </c>
      <c r="D519" s="1" t="n">
        <v>45114</v>
      </c>
      <c r="E519" s="1" t="n">
        <v>46218</v>
      </c>
      <c r="F519" t="inlineStr">
        <is>
          <t>KRONOBERGS LÄN</t>
        </is>
      </c>
      <c r="G519" t="inlineStr">
        <is>
          <t>UPPVIDINGE</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45905-2025</t>
        </is>
      </c>
      <c r="B520" t="inlineStr">
        <is>
          <t>avverkningsanmälan</t>
        </is>
      </c>
      <c r="C520" t="inlineStr">
        <is>
          <t>Föryngringsavverkning</t>
        </is>
      </c>
      <c r="D520" s="1" t="n">
        <v>45923</v>
      </c>
      <c r="E520" s="1" t="n">
        <v>46218</v>
      </c>
      <c r="F520" t="inlineStr">
        <is>
          <t>KRONOBERGS LÄN</t>
        </is>
      </c>
      <c r="G520" t="inlineStr">
        <is>
          <t>UPPVIDINGE</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36864-2025</t>
        </is>
      </c>
      <c r="B521" t="inlineStr">
        <is>
          <t>avverkningsanmälan</t>
        </is>
      </c>
      <c r="C521" t="inlineStr">
        <is>
          <t>Föryngringsavverkning</t>
        </is>
      </c>
      <c r="D521" s="1" t="n">
        <v>45873</v>
      </c>
      <c r="E521" s="1" t="n">
        <v>46218</v>
      </c>
      <c r="F521" t="inlineStr">
        <is>
          <t>KRONOBERGS LÄN</t>
        </is>
      </c>
      <c r="G521" t="inlineStr">
        <is>
          <t>UPPVIDINGE</t>
        </is>
      </c>
      <c r="I521" t="n">
        <v>5.2</v>
      </c>
      <c r="J521" t="n">
        <v>0</v>
      </c>
      <c r="K521" t="n">
        <v>0</v>
      </c>
      <c r="L521" t="n">
        <v>0</v>
      </c>
      <c r="M521" t="n">
        <v>0</v>
      </c>
      <c r="N521" t="n">
        <v>0</v>
      </c>
      <c r="O521" t="n">
        <v>0</v>
      </c>
      <c r="P521" t="n">
        <v>0</v>
      </c>
      <c r="Q521" t="n">
        <v>0</v>
      </c>
      <c r="R521" t="n">
        <v>0</v>
      </c>
      <c r="S521" t="n">
        <v>0</v>
      </c>
      <c r="T521" t="n">
        <v>0</v>
      </c>
      <c r="U521" s="2" t="inlineStr"/>
    </row>
    <row r="522" ht="15" customHeight="1">
      <c r="A522" t="inlineStr">
        <is>
          <t>A 7897-2024</t>
        </is>
      </c>
      <c r="B522" t="inlineStr">
        <is>
          <t>avverkningsanmälan</t>
        </is>
      </c>
      <c r="C522" t="inlineStr">
        <is>
          <t>Föryngringsavverkning</t>
        </is>
      </c>
      <c r="D522" s="1" t="n">
        <v>45350</v>
      </c>
      <c r="E522" s="1" t="n">
        <v>46218</v>
      </c>
      <c r="F522" t="inlineStr">
        <is>
          <t>KRONOBERGS LÄN</t>
        </is>
      </c>
      <c r="G522" t="inlineStr">
        <is>
          <t>UPPVIDINGE</t>
        </is>
      </c>
      <c r="I522" t="n">
        <v>3.1</v>
      </c>
      <c r="J522" t="n">
        <v>0</v>
      </c>
      <c r="K522" t="n">
        <v>0</v>
      </c>
      <c r="L522" t="n">
        <v>0</v>
      </c>
      <c r="M522" t="n">
        <v>0</v>
      </c>
      <c r="N522" t="n">
        <v>0</v>
      </c>
      <c r="O522" t="n">
        <v>0</v>
      </c>
      <c r="P522" t="n">
        <v>0</v>
      </c>
      <c r="Q522" t="n">
        <v>0</v>
      </c>
      <c r="R522" t="n">
        <v>0</v>
      </c>
      <c r="S522" t="n">
        <v>0</v>
      </c>
      <c r="T522" t="n">
        <v>0</v>
      </c>
      <c r="U522" s="2" t="inlineStr"/>
    </row>
    <row r="523" ht="15" customHeight="1">
      <c r="A523" t="inlineStr">
        <is>
          <t>A 7979-2024</t>
        </is>
      </c>
      <c r="B523" t="inlineStr">
        <is>
          <t>avverkningsanmälan</t>
        </is>
      </c>
      <c r="C523" t="inlineStr">
        <is>
          <t>Föryngringsavverkning</t>
        </is>
      </c>
      <c r="D523" s="1" t="n">
        <v>45348</v>
      </c>
      <c r="E523" s="1" t="n">
        <v>46218</v>
      </c>
      <c r="F523" t="inlineStr">
        <is>
          <t>KRONOBERGS LÄN</t>
        </is>
      </c>
      <c r="G523" t="inlineStr">
        <is>
          <t>UPPVIDINGE</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59395-2025</t>
        </is>
      </c>
      <c r="B524" t="inlineStr">
        <is>
          <t>avverkningsanmälan</t>
        </is>
      </c>
      <c r="C524" t="inlineStr">
        <is>
          <t>Föryngringsavverkning</t>
        </is>
      </c>
      <c r="D524" s="1" t="n">
        <v>45989</v>
      </c>
      <c r="E524" s="1" t="n">
        <v>46218</v>
      </c>
      <c r="F524" t="inlineStr">
        <is>
          <t>KRONOBERGS LÄN</t>
        </is>
      </c>
      <c r="G524" t="inlineStr">
        <is>
          <t>UPPVIDINGE</t>
        </is>
      </c>
      <c r="I524" t="n">
        <v>3</v>
      </c>
      <c r="J524" t="n">
        <v>0</v>
      </c>
      <c r="K524" t="n">
        <v>0</v>
      </c>
      <c r="L524" t="n">
        <v>0</v>
      </c>
      <c r="M524" t="n">
        <v>0</v>
      </c>
      <c r="N524" t="n">
        <v>0</v>
      </c>
      <c r="O524" t="n">
        <v>0</v>
      </c>
      <c r="P524" t="n">
        <v>0</v>
      </c>
      <c r="Q524" t="n">
        <v>0</v>
      </c>
      <c r="R524" t="n">
        <v>0</v>
      </c>
      <c r="S524" t="n">
        <v>0</v>
      </c>
      <c r="T524" t="n">
        <v>0</v>
      </c>
      <c r="U524" s="2" t="inlineStr"/>
    </row>
    <row r="525" ht="15" customHeight="1">
      <c r="A525" t="inlineStr">
        <is>
          <t>A 49966-2025</t>
        </is>
      </c>
      <c r="B525" t="inlineStr">
        <is>
          <t>avverkningsanmälan</t>
        </is>
      </c>
      <c r="C525" t="inlineStr">
        <is>
          <t>Föryngringsavverkning</t>
        </is>
      </c>
      <c r="D525" s="1" t="n">
        <v>45941</v>
      </c>
      <c r="E525" s="1" t="n">
        <v>46218</v>
      </c>
      <c r="F525" t="inlineStr">
        <is>
          <t>KRONOBERGS LÄN</t>
        </is>
      </c>
      <c r="G525" t="inlineStr">
        <is>
          <t>UPPVIDINGE</t>
        </is>
      </c>
      <c r="H525" t="inlineStr">
        <is>
          <t>Sveaskog</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20081-2024</t>
        </is>
      </c>
      <c r="B526" t="inlineStr">
        <is>
          <t>avverkningsanmälan</t>
        </is>
      </c>
      <c r="C526" t="inlineStr">
        <is>
          <t>Föryngringsavverkning</t>
        </is>
      </c>
      <c r="D526" s="1" t="n">
        <v>45434</v>
      </c>
      <c r="E526" s="1" t="n">
        <v>46218</v>
      </c>
      <c r="F526" t="inlineStr">
        <is>
          <t>KRONOBERGS LÄN</t>
        </is>
      </c>
      <c r="G526" t="inlineStr">
        <is>
          <t>UPPVIDINGE</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73667-2021</t>
        </is>
      </c>
      <c r="B527" t="inlineStr">
        <is>
          <t>avverkningsanmälan</t>
        </is>
      </c>
      <c r="C527" t="inlineStr">
        <is>
          <t>Föryngringsavverkning</t>
        </is>
      </c>
      <c r="D527" s="1" t="n">
        <v>44552</v>
      </c>
      <c r="E527" s="1" t="n">
        <v>46218</v>
      </c>
      <c r="F527" t="inlineStr">
        <is>
          <t>KRONOBERGS LÄN</t>
        </is>
      </c>
      <c r="G527" t="inlineStr">
        <is>
          <t>UPPVIDINGE</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57130-2024</t>
        </is>
      </c>
      <c r="B528" t="inlineStr">
        <is>
          <t>avverkningsanmälan</t>
        </is>
      </c>
      <c r="C528" t="inlineStr">
        <is>
          <t>Föryngringsavverkning</t>
        </is>
      </c>
      <c r="D528" s="1" t="n">
        <v>45629</v>
      </c>
      <c r="E528" s="1" t="n">
        <v>46218</v>
      </c>
      <c r="F528" t="inlineStr">
        <is>
          <t>KRONOBERGS LÄN</t>
        </is>
      </c>
      <c r="G528" t="inlineStr">
        <is>
          <t>UPPVIDINGE</t>
        </is>
      </c>
      <c r="H528" t="inlineStr">
        <is>
          <t>Sveaskog</t>
        </is>
      </c>
      <c r="I528" t="n">
        <v>1.8</v>
      </c>
      <c r="J528" t="n">
        <v>0</v>
      </c>
      <c r="K528" t="n">
        <v>0</v>
      </c>
      <c r="L528" t="n">
        <v>0</v>
      </c>
      <c r="M528" t="n">
        <v>0</v>
      </c>
      <c r="N528" t="n">
        <v>0</v>
      </c>
      <c r="O528" t="n">
        <v>0</v>
      </c>
      <c r="P528" t="n">
        <v>0</v>
      </c>
      <c r="Q528" t="n">
        <v>0</v>
      </c>
      <c r="R528" t="n">
        <v>0</v>
      </c>
      <c r="S528" t="n">
        <v>0</v>
      </c>
      <c r="T528" t="n">
        <v>0</v>
      </c>
      <c r="U528" s="2" t="inlineStr"/>
    </row>
    <row r="529" ht="15" customHeight="1">
      <c r="A529" t="inlineStr">
        <is>
          <t>A 7503-2023</t>
        </is>
      </c>
      <c r="B529" t="inlineStr">
        <is>
          <t>avverkningsanmälan</t>
        </is>
      </c>
      <c r="C529" t="inlineStr">
        <is>
          <t>Föryngringsavverkning</t>
        </is>
      </c>
      <c r="D529" s="1" t="n">
        <v>44971</v>
      </c>
      <c r="E529" s="1" t="n">
        <v>46218</v>
      </c>
      <c r="F529" t="inlineStr">
        <is>
          <t>KRONOBERGS LÄN</t>
        </is>
      </c>
      <c r="G529" t="inlineStr">
        <is>
          <t>UPPVIDINGE</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25446-2025</t>
        </is>
      </c>
      <c r="B530" t="inlineStr">
        <is>
          <t>avverkningsanmälan</t>
        </is>
      </c>
      <c r="C530" t="inlineStr">
        <is>
          <t>Föryngringsavverkning</t>
        </is>
      </c>
      <c r="D530" s="1" t="n">
        <v>45801</v>
      </c>
      <c r="E530" s="1" t="n">
        <v>46218</v>
      </c>
      <c r="F530" t="inlineStr">
        <is>
          <t>KRONOBERGS LÄN</t>
        </is>
      </c>
      <c r="G530" t="inlineStr">
        <is>
          <t>UPPVIDINGE</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59339-2025</t>
        </is>
      </c>
      <c r="B531" t="inlineStr">
        <is>
          <t>avverkningsanmälan</t>
        </is>
      </c>
      <c r="C531" t="inlineStr">
        <is>
          <t>Föryngringsavverkning</t>
        </is>
      </c>
      <c r="D531" s="1" t="n">
        <v>45989</v>
      </c>
      <c r="E531" s="1" t="n">
        <v>46218</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33839-2025</t>
        </is>
      </c>
      <c r="B532" t="inlineStr">
        <is>
          <t>avverkningsanmälan</t>
        </is>
      </c>
      <c r="C532" t="inlineStr">
        <is>
          <t>Föryngringsavverkning</t>
        </is>
      </c>
      <c r="D532" s="1" t="n">
        <v>45842</v>
      </c>
      <c r="E532" s="1" t="n">
        <v>46218</v>
      </c>
      <c r="F532" t="inlineStr">
        <is>
          <t>KRONOBERGS LÄN</t>
        </is>
      </c>
      <c r="G532" t="inlineStr">
        <is>
          <t>UPPVIDINGE</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A 59268-2025</t>
        </is>
      </c>
      <c r="B533" t="inlineStr">
        <is>
          <t>avverkningsanmälan</t>
        </is>
      </c>
      <c r="C533" t="inlineStr">
        <is>
          <t>Föryngringsavverkning</t>
        </is>
      </c>
      <c r="D533" s="1" t="n">
        <v>45988</v>
      </c>
      <c r="E533" s="1" t="n">
        <v>46218</v>
      </c>
      <c r="F533" t="inlineStr">
        <is>
          <t>KRONOBERGS LÄN</t>
        </is>
      </c>
      <c r="G533" t="inlineStr">
        <is>
          <t>UPPVIDINGE</t>
        </is>
      </c>
      <c r="I533" t="n">
        <v>2</v>
      </c>
      <c r="J533" t="n">
        <v>0</v>
      </c>
      <c r="K533" t="n">
        <v>0</v>
      </c>
      <c r="L533" t="n">
        <v>0</v>
      </c>
      <c r="M533" t="n">
        <v>0</v>
      </c>
      <c r="N533" t="n">
        <v>0</v>
      </c>
      <c r="O533" t="n">
        <v>0</v>
      </c>
      <c r="P533" t="n">
        <v>0</v>
      </c>
      <c r="Q533" t="n">
        <v>0</v>
      </c>
      <c r="R533" t="n">
        <v>0</v>
      </c>
      <c r="S533" t="n">
        <v>0</v>
      </c>
      <c r="T533" t="n">
        <v>0</v>
      </c>
      <c r="U533" s="2" t="inlineStr"/>
    </row>
    <row r="534" ht="15" customHeight="1">
      <c r="A534" t="inlineStr">
        <is>
          <t>A 30108-2022</t>
        </is>
      </c>
      <c r="B534" t="inlineStr">
        <is>
          <t>avverkningsanmälan</t>
        </is>
      </c>
      <c r="C534" t="inlineStr">
        <is>
          <t>Föryngringsavverkning</t>
        </is>
      </c>
      <c r="D534" s="1" t="n">
        <v>44757</v>
      </c>
      <c r="E534" s="1" t="n">
        <v>46218</v>
      </c>
      <c r="F534" t="inlineStr">
        <is>
          <t>KRONOBERGS LÄN</t>
        </is>
      </c>
      <c r="G534" t="inlineStr">
        <is>
          <t>UPPVIDINGE</t>
        </is>
      </c>
      <c r="H534" t="inlineStr">
        <is>
          <t>Sveaskog</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33841-2025</t>
        </is>
      </c>
      <c r="B535" t="inlineStr">
        <is>
          <t>avverkningsanmälan</t>
        </is>
      </c>
      <c r="C535" t="inlineStr">
        <is>
          <t>Föryngringsavverkning</t>
        </is>
      </c>
      <c r="D535" s="1" t="n">
        <v>45842</v>
      </c>
      <c r="E535" s="1" t="n">
        <v>46218</v>
      </c>
      <c r="F535" t="inlineStr">
        <is>
          <t>KRONOBERGS LÄN</t>
        </is>
      </c>
      <c r="G535" t="inlineStr">
        <is>
          <t>UPPVIDINGE</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36037-2025</t>
        </is>
      </c>
      <c r="B536" t="inlineStr">
        <is>
          <t>avverkningsanmälan</t>
        </is>
      </c>
      <c r="C536" t="inlineStr">
        <is>
          <t>Föryngringsavverkning</t>
        </is>
      </c>
      <c r="D536" s="1" t="n">
        <v>45865</v>
      </c>
      <c r="E536" s="1" t="n">
        <v>46218</v>
      </c>
      <c r="F536" t="inlineStr">
        <is>
          <t>KRONOBERGS LÄN</t>
        </is>
      </c>
      <c r="G536" t="inlineStr">
        <is>
          <t>UPPVIDINGE</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23662-2025</t>
        </is>
      </c>
      <c r="B537" t="inlineStr">
        <is>
          <t>avverkningsanmälan</t>
        </is>
      </c>
      <c r="C537" t="inlineStr">
        <is>
          <t>Föryngringsavverkning</t>
        </is>
      </c>
      <c r="D537" s="1" t="n">
        <v>45792</v>
      </c>
      <c r="E537" s="1" t="n">
        <v>46218</v>
      </c>
      <c r="F537" t="inlineStr">
        <is>
          <t>KRONOBERGS LÄN</t>
        </is>
      </c>
      <c r="G537" t="inlineStr">
        <is>
          <t>UPPVIDINGE</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55847-2025</t>
        </is>
      </c>
      <c r="B538" t="inlineStr">
        <is>
          <t>avverkningsanmälan</t>
        </is>
      </c>
      <c r="C538" t="inlineStr">
        <is>
          <t>Föryngringsavverkning</t>
        </is>
      </c>
      <c r="D538" s="1" t="n">
        <v>45973</v>
      </c>
      <c r="E538" s="1" t="n">
        <v>46218</v>
      </c>
      <c r="F538" t="inlineStr">
        <is>
          <t>KRONOBERGS LÄN</t>
        </is>
      </c>
      <c r="G538" t="inlineStr">
        <is>
          <t>UPPVIDINGE</t>
        </is>
      </c>
      <c r="I538" t="n">
        <v>3.2</v>
      </c>
      <c r="J538" t="n">
        <v>0</v>
      </c>
      <c r="K538" t="n">
        <v>0</v>
      </c>
      <c r="L538" t="n">
        <v>0</v>
      </c>
      <c r="M538" t="n">
        <v>0</v>
      </c>
      <c r="N538" t="n">
        <v>0</v>
      </c>
      <c r="O538" t="n">
        <v>0</v>
      </c>
      <c r="P538" t="n">
        <v>0</v>
      </c>
      <c r="Q538" t="n">
        <v>0</v>
      </c>
      <c r="R538" t="n">
        <v>0</v>
      </c>
      <c r="S538" t="n">
        <v>0</v>
      </c>
      <c r="T538" t="n">
        <v>0</v>
      </c>
      <c r="U538" s="2" t="inlineStr"/>
    </row>
    <row r="539" ht="15" customHeight="1">
      <c r="A539" t="inlineStr">
        <is>
          <t>A 19584-2023</t>
        </is>
      </c>
      <c r="B539" t="inlineStr">
        <is>
          <t>avverkningsanmälan</t>
        </is>
      </c>
      <c r="C539" t="inlineStr">
        <is>
          <t>Föryngringsavverkning</t>
        </is>
      </c>
      <c r="D539" s="1" t="n">
        <v>45049</v>
      </c>
      <c r="E539" s="1" t="n">
        <v>46218</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34543-2023</t>
        </is>
      </c>
      <c r="B540" t="inlineStr">
        <is>
          <t>avverkningsanmälan</t>
        </is>
      </c>
      <c r="C540" t="inlineStr">
        <is>
          <t>Föryngringsavverkning</t>
        </is>
      </c>
      <c r="D540" s="1" t="n">
        <v>45140</v>
      </c>
      <c r="E540" s="1" t="n">
        <v>46218</v>
      </c>
      <c r="F540" t="inlineStr">
        <is>
          <t>KRONOBERGS LÄN</t>
        </is>
      </c>
      <c r="G540" t="inlineStr">
        <is>
          <t>UPPVIDINGE</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53736-2025</t>
        </is>
      </c>
      <c r="B541" t="inlineStr">
        <is>
          <t>avverkningsanmälan</t>
        </is>
      </c>
      <c r="C541" t="inlineStr">
        <is>
          <t>Föryngringsavverkning</t>
        </is>
      </c>
      <c r="D541" s="1" t="n">
        <v>45960</v>
      </c>
      <c r="E541" s="1" t="n">
        <v>46218</v>
      </c>
      <c r="F541" t="inlineStr">
        <is>
          <t>KRONOBERGS LÄN</t>
        </is>
      </c>
      <c r="G541" t="inlineStr">
        <is>
          <t>UPPVIDINGE</t>
        </is>
      </c>
      <c r="H541" t="inlineStr">
        <is>
          <t>Sveaskog</t>
        </is>
      </c>
      <c r="I541" t="n">
        <v>23.5</v>
      </c>
      <c r="J541" t="n">
        <v>0</v>
      </c>
      <c r="K541" t="n">
        <v>0</v>
      </c>
      <c r="L541" t="n">
        <v>0</v>
      </c>
      <c r="M541" t="n">
        <v>0</v>
      </c>
      <c r="N541" t="n">
        <v>0</v>
      </c>
      <c r="O541" t="n">
        <v>0</v>
      </c>
      <c r="P541" t="n">
        <v>0</v>
      </c>
      <c r="Q541" t="n">
        <v>0</v>
      </c>
      <c r="R541" t="n">
        <v>0</v>
      </c>
      <c r="S541" t="n">
        <v>0</v>
      </c>
      <c r="T541" t="n">
        <v>0</v>
      </c>
      <c r="U541" s="2" t="inlineStr"/>
    </row>
    <row r="542" ht="15" customHeight="1">
      <c r="A542" t="inlineStr">
        <is>
          <t>A 1918-2024</t>
        </is>
      </c>
      <c r="B542" t="inlineStr">
        <is>
          <t>avverkningsanmälan</t>
        </is>
      </c>
      <c r="C542" t="inlineStr">
        <is>
          <t>Föryngringsavverkning</t>
        </is>
      </c>
      <c r="D542" s="1" t="n">
        <v>45308</v>
      </c>
      <c r="E542" s="1" t="n">
        <v>46218</v>
      </c>
      <c r="F542" t="inlineStr">
        <is>
          <t>KRONOBERGS LÄN</t>
        </is>
      </c>
      <c r="G542" t="inlineStr">
        <is>
          <t>UPPVIDINGE</t>
        </is>
      </c>
      <c r="I542" t="n">
        <v>2.5</v>
      </c>
      <c r="J542" t="n">
        <v>0</v>
      </c>
      <c r="K542" t="n">
        <v>0</v>
      </c>
      <c r="L542" t="n">
        <v>0</v>
      </c>
      <c r="M542" t="n">
        <v>0</v>
      </c>
      <c r="N542" t="n">
        <v>0</v>
      </c>
      <c r="O542" t="n">
        <v>0</v>
      </c>
      <c r="P542" t="n">
        <v>0</v>
      </c>
      <c r="Q542" t="n">
        <v>0</v>
      </c>
      <c r="R542" t="n">
        <v>0</v>
      </c>
      <c r="S542" t="n">
        <v>0</v>
      </c>
      <c r="T542" t="n">
        <v>0</v>
      </c>
      <c r="U542" s="2" t="inlineStr"/>
    </row>
    <row r="543" ht="15" customHeight="1">
      <c r="A543" t="inlineStr">
        <is>
          <t>A 19453-2026</t>
        </is>
      </c>
      <c r="B543" t="inlineStr">
        <is>
          <t>avverkningsanmälan</t>
        </is>
      </c>
      <c r="C543" t="inlineStr">
        <is>
          <t>Föryngringsavverkning</t>
        </is>
      </c>
      <c r="D543" s="1" t="n">
        <v>46133</v>
      </c>
      <c r="E543" s="1" t="n">
        <v>46218</v>
      </c>
      <c r="F543" t="inlineStr">
        <is>
          <t>KRONOBERGS LÄN</t>
        </is>
      </c>
      <c r="G543" t="inlineStr">
        <is>
          <t>UPPVIDINGE</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63376-2025</t>
        </is>
      </c>
      <c r="B544" t="inlineStr">
        <is>
          <t>avverkningsanmälan</t>
        </is>
      </c>
      <c r="C544" t="inlineStr">
        <is>
          <t>Avverkning för att bevara och utveckla /försöksver</t>
        </is>
      </c>
      <c r="D544" s="1" t="n">
        <v>46009</v>
      </c>
      <c r="E544" s="1" t="n">
        <v>46218</v>
      </c>
      <c r="F544" t="inlineStr">
        <is>
          <t>KRONOBERGS LÄN</t>
        </is>
      </c>
      <c r="G544" t="inlineStr">
        <is>
          <t>UPPVIDINGE</t>
        </is>
      </c>
      <c r="H544" t="inlineStr">
        <is>
          <t>Kyrkan</t>
        </is>
      </c>
      <c r="I544" t="n">
        <v>13.8</v>
      </c>
      <c r="J544" t="n">
        <v>0</v>
      </c>
      <c r="K544" t="n">
        <v>0</v>
      </c>
      <c r="L544" t="n">
        <v>0</v>
      </c>
      <c r="M544" t="n">
        <v>0</v>
      </c>
      <c r="N544" t="n">
        <v>0</v>
      </c>
      <c r="O544" t="n">
        <v>0</v>
      </c>
      <c r="P544" t="n">
        <v>0</v>
      </c>
      <c r="Q544" t="n">
        <v>0</v>
      </c>
      <c r="R544" t="n">
        <v>0</v>
      </c>
      <c r="S544" t="n">
        <v>0</v>
      </c>
      <c r="T544" t="n">
        <v>0</v>
      </c>
      <c r="U544" s="2" t="inlineStr"/>
    </row>
    <row r="545" ht="15" customHeight="1">
      <c r="A545" t="inlineStr">
        <is>
          <t>A 53742-2025</t>
        </is>
      </c>
      <c r="B545" t="inlineStr">
        <is>
          <t>avverkningsanmälan</t>
        </is>
      </c>
      <c r="C545" t="inlineStr">
        <is>
          <t>Föryngringsavverkning</t>
        </is>
      </c>
      <c r="D545" s="1" t="n">
        <v>45960</v>
      </c>
      <c r="E545" s="1" t="n">
        <v>46218</v>
      </c>
      <c r="F545" t="inlineStr">
        <is>
          <t>KRONOBERGS LÄN</t>
        </is>
      </c>
      <c r="G545" t="inlineStr">
        <is>
          <t>UPPVIDINGE</t>
        </is>
      </c>
      <c r="H545" t="inlineStr">
        <is>
          <t>Sveaskog</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60539-2025</t>
        </is>
      </c>
      <c r="B546" t="inlineStr">
        <is>
          <t>avverkningsanmälan</t>
        </is>
      </c>
      <c r="C546" t="inlineStr">
        <is>
          <t>Föryngringsavverkning</t>
        </is>
      </c>
      <c r="D546" s="1" t="n">
        <v>45995</v>
      </c>
      <c r="E546" s="1" t="n">
        <v>46218</v>
      </c>
      <c r="F546" t="inlineStr">
        <is>
          <t>KRONOBERGS LÄN</t>
        </is>
      </c>
      <c r="G546" t="inlineStr">
        <is>
          <t>UPPVIDINGE</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26683-2023</t>
        </is>
      </c>
      <c r="B547" t="inlineStr">
        <is>
          <t>avverkningsanmälan</t>
        </is>
      </c>
      <c r="C547" t="inlineStr">
        <is>
          <t>Föryngringsavverkning</t>
        </is>
      </c>
      <c r="D547" s="1" t="n">
        <v>45093</v>
      </c>
      <c r="E547" s="1" t="n">
        <v>46218</v>
      </c>
      <c r="F547" t="inlineStr">
        <is>
          <t>KRONOBERGS LÄN</t>
        </is>
      </c>
      <c r="G547" t="inlineStr">
        <is>
          <t>UPPVIDINGE</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49425-2024</t>
        </is>
      </c>
      <c r="B548" t="inlineStr">
        <is>
          <t>avverkningsanmälan</t>
        </is>
      </c>
      <c r="C548" t="inlineStr">
        <is>
          <t>Föryngringsavverkning</t>
        </is>
      </c>
      <c r="D548" s="1" t="n">
        <v>45595</v>
      </c>
      <c r="E548" s="1" t="n">
        <v>46218</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s="2" t="inlineStr"/>
    </row>
    <row r="549" ht="15" customHeight="1">
      <c r="A549" t="inlineStr">
        <is>
          <t>A 41973-2023</t>
        </is>
      </c>
      <c r="B549" t="inlineStr">
        <is>
          <t>avverkningsanmälan</t>
        </is>
      </c>
      <c r="C549" t="inlineStr">
        <is>
          <t>Föryngringsavverkning</t>
        </is>
      </c>
      <c r="D549" s="1" t="n">
        <v>45174</v>
      </c>
      <c r="E549" s="1" t="n">
        <v>46218</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26520-2026</t>
        </is>
      </c>
      <c r="B550" t="inlineStr">
        <is>
          <t>avverkningsanmälan</t>
        </is>
      </c>
      <c r="C550" t="inlineStr">
        <is>
          <t>Föryngringsavverkning</t>
        </is>
      </c>
      <c r="D550" s="1" t="n">
        <v>46183</v>
      </c>
      <c r="E550" s="1" t="n">
        <v>46218</v>
      </c>
      <c r="F550" t="inlineStr">
        <is>
          <t>KRONOBERGS LÄN</t>
        </is>
      </c>
      <c r="G550" t="inlineStr">
        <is>
          <t>UPPVIDINGE</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60484-2025</t>
        </is>
      </c>
      <c r="B551" t="inlineStr">
        <is>
          <t>avverkningsanmälan</t>
        </is>
      </c>
      <c r="C551" t="inlineStr">
        <is>
          <t>Föryngringsavverkning</t>
        </is>
      </c>
      <c r="D551" s="1" t="n">
        <v>45995</v>
      </c>
      <c r="E551" s="1" t="n">
        <v>46218</v>
      </c>
      <c r="F551" t="inlineStr">
        <is>
          <t>KRONOBERGS LÄN</t>
        </is>
      </c>
      <c r="G551" t="inlineStr">
        <is>
          <t>UPPVIDINGE</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60498-2025</t>
        </is>
      </c>
      <c r="B552" t="inlineStr">
        <is>
          <t>avverkningsanmälan</t>
        </is>
      </c>
      <c r="C552" t="inlineStr">
        <is>
          <t>Föryngringsavverkning</t>
        </is>
      </c>
      <c r="D552" s="1" t="n">
        <v>45995</v>
      </c>
      <c r="E552" s="1" t="n">
        <v>46218</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60354-2025</t>
        </is>
      </c>
      <c r="B553" t="inlineStr">
        <is>
          <t>avverkningsanmälan</t>
        </is>
      </c>
      <c r="C553" t="inlineStr">
        <is>
          <t>Föryngringsavverkning</t>
        </is>
      </c>
      <c r="D553" s="1" t="n">
        <v>45995</v>
      </c>
      <c r="E553" s="1" t="n">
        <v>46218</v>
      </c>
      <c r="F553" t="inlineStr">
        <is>
          <t>KRONOBERGS LÄN</t>
        </is>
      </c>
      <c r="G553" t="inlineStr">
        <is>
          <t>UPPVIDINGE</t>
        </is>
      </c>
      <c r="H553" t="inlineStr">
        <is>
          <t>Sveaskog</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38858-2024</t>
        </is>
      </c>
      <c r="B554" t="inlineStr">
        <is>
          <t>avverkningsanmälan</t>
        </is>
      </c>
      <c r="C554" t="inlineStr">
        <is>
          <t>Avverkning för annat ändamål</t>
        </is>
      </c>
      <c r="D554" s="1" t="n">
        <v>45547</v>
      </c>
      <c r="E554" s="1" t="n">
        <v>46218</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s="2" t="inlineStr"/>
    </row>
    <row r="555" ht="15" customHeight="1">
      <c r="A555" t="inlineStr">
        <is>
          <t>A 38859-2024</t>
        </is>
      </c>
      <c r="B555" t="inlineStr">
        <is>
          <t>avverkningsanmälan</t>
        </is>
      </c>
      <c r="C555" t="inlineStr">
        <is>
          <t>Avverkning för annat ändamål</t>
        </is>
      </c>
      <c r="D555" s="1" t="n">
        <v>45547</v>
      </c>
      <c r="E555" s="1" t="n">
        <v>46218</v>
      </c>
      <c r="F555" t="inlineStr">
        <is>
          <t>KRONOBERGS LÄN</t>
        </is>
      </c>
      <c r="G555" t="inlineStr">
        <is>
          <t>UPPVIDINGE</t>
        </is>
      </c>
      <c r="I555" t="n">
        <v>0.2</v>
      </c>
      <c r="J555" t="n">
        <v>0</v>
      </c>
      <c r="K555" t="n">
        <v>0</v>
      </c>
      <c r="L555" t="n">
        <v>0</v>
      </c>
      <c r="M555" t="n">
        <v>0</v>
      </c>
      <c r="N555" t="n">
        <v>0</v>
      </c>
      <c r="O555" t="n">
        <v>0</v>
      </c>
      <c r="P555" t="n">
        <v>0</v>
      </c>
      <c r="Q555" t="n">
        <v>0</v>
      </c>
      <c r="R555" t="n">
        <v>0</v>
      </c>
      <c r="S555" t="n">
        <v>0</v>
      </c>
      <c r="T555" t="n">
        <v>0</v>
      </c>
      <c r="U555" s="2" t="inlineStr"/>
    </row>
    <row r="556" ht="15" customHeight="1">
      <c r="A556" t="inlineStr">
        <is>
          <t>A 60951-2025</t>
        </is>
      </c>
      <c r="B556" t="inlineStr">
        <is>
          <t>avverkningsanmälan</t>
        </is>
      </c>
      <c r="C556" t="inlineStr">
        <is>
          <t>Föryngringsavverkning</t>
        </is>
      </c>
      <c r="D556" s="1" t="n">
        <v>45999</v>
      </c>
      <c r="E556" s="1" t="n">
        <v>46218</v>
      </c>
      <c r="F556" t="inlineStr">
        <is>
          <t>KRONOBERGS LÄN</t>
        </is>
      </c>
      <c r="G556" t="inlineStr">
        <is>
          <t>UPPVIDINGE</t>
        </is>
      </c>
      <c r="I556" t="n">
        <v>2.7</v>
      </c>
      <c r="J556" t="n">
        <v>0</v>
      </c>
      <c r="K556" t="n">
        <v>0</v>
      </c>
      <c r="L556" t="n">
        <v>0</v>
      </c>
      <c r="M556" t="n">
        <v>0</v>
      </c>
      <c r="N556" t="n">
        <v>0</v>
      </c>
      <c r="O556" t="n">
        <v>0</v>
      </c>
      <c r="P556" t="n">
        <v>0</v>
      </c>
      <c r="Q556" t="n">
        <v>0</v>
      </c>
      <c r="R556" t="n">
        <v>0</v>
      </c>
      <c r="S556" t="n">
        <v>0</v>
      </c>
      <c r="T556" t="n">
        <v>0</v>
      </c>
      <c r="U556" s="2" t="inlineStr"/>
    </row>
    <row r="557" ht="15" customHeight="1">
      <c r="A557" t="inlineStr">
        <is>
          <t>A 8551-2024</t>
        </is>
      </c>
      <c r="B557" t="inlineStr">
        <is>
          <t>avverkningsanmälan</t>
        </is>
      </c>
      <c r="C557" t="inlineStr">
        <is>
          <t>Föryngringsavverkning</t>
        </is>
      </c>
      <c r="D557" s="1" t="n">
        <v>45355</v>
      </c>
      <c r="E557" s="1" t="n">
        <v>46218</v>
      </c>
      <c r="F557" t="inlineStr">
        <is>
          <t>KRONOBERGS LÄN</t>
        </is>
      </c>
      <c r="G557" t="inlineStr">
        <is>
          <t>UPPVIDINGE</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61312-2025</t>
        </is>
      </c>
      <c r="B558" t="inlineStr">
        <is>
          <t>avverkningsanmälan</t>
        </is>
      </c>
      <c r="C558" t="inlineStr">
        <is>
          <t>Föryngringsavverkning</t>
        </is>
      </c>
      <c r="D558" s="1" t="n">
        <v>46000</v>
      </c>
      <c r="E558" s="1" t="n">
        <v>46218</v>
      </c>
      <c r="F558" t="inlineStr">
        <is>
          <t>KRONOBERGS LÄN</t>
        </is>
      </c>
      <c r="G558" t="inlineStr">
        <is>
          <t>UPPVIDINGE</t>
        </is>
      </c>
      <c r="I558" t="n">
        <v>7.3</v>
      </c>
      <c r="J558" t="n">
        <v>0</v>
      </c>
      <c r="K558" t="n">
        <v>0</v>
      </c>
      <c r="L558" t="n">
        <v>0</v>
      </c>
      <c r="M558" t="n">
        <v>0</v>
      </c>
      <c r="N558" t="n">
        <v>0</v>
      </c>
      <c r="O558" t="n">
        <v>0</v>
      </c>
      <c r="P558" t="n">
        <v>0</v>
      </c>
      <c r="Q558" t="n">
        <v>0</v>
      </c>
      <c r="R558" t="n">
        <v>0</v>
      </c>
      <c r="S558" t="n">
        <v>0</v>
      </c>
      <c r="T558" t="n">
        <v>0</v>
      </c>
      <c r="U558" s="2" t="inlineStr"/>
    </row>
    <row r="559" ht="15" customHeight="1">
      <c r="A559" t="inlineStr">
        <is>
          <t>A 61313-2025</t>
        </is>
      </c>
      <c r="B559" t="inlineStr">
        <is>
          <t>avverkningsanmälan</t>
        </is>
      </c>
      <c r="C559" t="inlineStr">
        <is>
          <t>Föryngringsavverkning</t>
        </is>
      </c>
      <c r="D559" s="1" t="n">
        <v>46000</v>
      </c>
      <c r="E559" s="1" t="n">
        <v>46218</v>
      </c>
      <c r="F559" t="inlineStr">
        <is>
          <t>KRONOBERGS LÄN</t>
        </is>
      </c>
      <c r="G559" t="inlineStr">
        <is>
          <t>UPPVIDINGE</t>
        </is>
      </c>
      <c r="I559" t="n">
        <v>6.9</v>
      </c>
      <c r="J559" t="n">
        <v>0</v>
      </c>
      <c r="K559" t="n">
        <v>0</v>
      </c>
      <c r="L559" t="n">
        <v>0</v>
      </c>
      <c r="M559" t="n">
        <v>0</v>
      </c>
      <c r="N559" t="n">
        <v>0</v>
      </c>
      <c r="O559" t="n">
        <v>0</v>
      </c>
      <c r="P559" t="n">
        <v>0</v>
      </c>
      <c r="Q559" t="n">
        <v>0</v>
      </c>
      <c r="R559" t="n">
        <v>0</v>
      </c>
      <c r="S559" t="n">
        <v>0</v>
      </c>
      <c r="T559" t="n">
        <v>0</v>
      </c>
      <c r="U559" s="2" t="inlineStr"/>
    </row>
    <row r="560" ht="15" customHeight="1">
      <c r="A560" t="inlineStr">
        <is>
          <t>A 61496-2025</t>
        </is>
      </c>
      <c r="B560" t="inlineStr">
        <is>
          <t>avverkningsanmälan</t>
        </is>
      </c>
      <c r="C560" t="inlineStr">
        <is>
          <t>Föryngringsavverkning</t>
        </is>
      </c>
      <c r="D560" s="1" t="n">
        <v>46001</v>
      </c>
      <c r="E560" s="1" t="n">
        <v>46218</v>
      </c>
      <c r="F560" t="inlineStr">
        <is>
          <t>KRONOBERGS LÄN</t>
        </is>
      </c>
      <c r="G560" t="inlineStr">
        <is>
          <t>UPPVIDINGE</t>
        </is>
      </c>
      <c r="I560" t="n">
        <v>2.7</v>
      </c>
      <c r="J560" t="n">
        <v>0</v>
      </c>
      <c r="K560" t="n">
        <v>0</v>
      </c>
      <c r="L560" t="n">
        <v>0</v>
      </c>
      <c r="M560" t="n">
        <v>0</v>
      </c>
      <c r="N560" t="n">
        <v>0</v>
      </c>
      <c r="O560" t="n">
        <v>0</v>
      </c>
      <c r="P560" t="n">
        <v>0</v>
      </c>
      <c r="Q560" t="n">
        <v>0</v>
      </c>
      <c r="R560" t="n">
        <v>0</v>
      </c>
      <c r="S560" t="n">
        <v>0</v>
      </c>
      <c r="T560" t="n">
        <v>0</v>
      </c>
      <c r="U560" s="2" t="inlineStr"/>
    </row>
    <row r="561" ht="15" customHeight="1">
      <c r="A561" t="inlineStr">
        <is>
          <t>A 27024-2026</t>
        </is>
      </c>
      <c r="B561" t="inlineStr">
        <is>
          <t>avverkningsanmälan</t>
        </is>
      </c>
      <c r="C561" t="inlineStr">
        <is>
          <t>Föryngringsavverkning</t>
        </is>
      </c>
      <c r="D561" s="1" t="n">
        <v>46185</v>
      </c>
      <c r="E561" s="1" t="n">
        <v>46218</v>
      </c>
      <c r="F561" t="inlineStr">
        <is>
          <t>KRONOBERGS LÄN</t>
        </is>
      </c>
      <c r="G561" t="inlineStr">
        <is>
          <t>UPPVIDINGE</t>
        </is>
      </c>
      <c r="H561" t="inlineStr">
        <is>
          <t>Sveaskog</t>
        </is>
      </c>
      <c r="I561" t="n">
        <v>2.5</v>
      </c>
      <c r="J561" t="n">
        <v>0</v>
      </c>
      <c r="K561" t="n">
        <v>0</v>
      </c>
      <c r="L561" t="n">
        <v>0</v>
      </c>
      <c r="M561" t="n">
        <v>0</v>
      </c>
      <c r="N561" t="n">
        <v>0</v>
      </c>
      <c r="O561" t="n">
        <v>0</v>
      </c>
      <c r="P561" t="n">
        <v>0</v>
      </c>
      <c r="Q561" t="n">
        <v>0</v>
      </c>
      <c r="R561" t="n">
        <v>0</v>
      </c>
      <c r="S561" t="n">
        <v>0</v>
      </c>
      <c r="T561" t="n">
        <v>0</v>
      </c>
      <c r="U561" s="2" t="inlineStr"/>
    </row>
    <row r="562" ht="15" customHeight="1">
      <c r="A562" t="inlineStr">
        <is>
          <t>A 26944-2026</t>
        </is>
      </c>
      <c r="B562" t="inlineStr">
        <is>
          <t>avverkningsanmälan</t>
        </is>
      </c>
      <c r="C562" t="inlineStr">
        <is>
          <t>Föryngringsavverkning</t>
        </is>
      </c>
      <c r="D562" s="1" t="n">
        <v>46185</v>
      </c>
      <c r="E562" s="1" t="n">
        <v>46218</v>
      </c>
      <c r="F562" t="inlineStr">
        <is>
          <t>KRONOBERGS LÄN</t>
        </is>
      </c>
      <c r="G562" t="inlineStr">
        <is>
          <t>UPPVIDINGE</t>
        </is>
      </c>
      <c r="I562" t="n">
        <v>10.9</v>
      </c>
      <c r="J562" t="n">
        <v>0</v>
      </c>
      <c r="K562" t="n">
        <v>0</v>
      </c>
      <c r="L562" t="n">
        <v>0</v>
      </c>
      <c r="M562" t="n">
        <v>0</v>
      </c>
      <c r="N562" t="n">
        <v>0</v>
      </c>
      <c r="O562" t="n">
        <v>0</v>
      </c>
      <c r="P562" t="n">
        <v>0</v>
      </c>
      <c r="Q562" t="n">
        <v>0</v>
      </c>
      <c r="R562" t="n">
        <v>0</v>
      </c>
      <c r="S562" t="n">
        <v>0</v>
      </c>
      <c r="T562" t="n">
        <v>0</v>
      </c>
      <c r="U562" s="2" t="inlineStr"/>
    </row>
    <row r="563" ht="15" customHeight="1">
      <c r="A563" t="inlineStr">
        <is>
          <t>A 26936-2026</t>
        </is>
      </c>
      <c r="B563" t="inlineStr">
        <is>
          <t>avverkningsanmälan</t>
        </is>
      </c>
      <c r="C563" t="inlineStr">
        <is>
          <t>Föryngringsavverkning</t>
        </is>
      </c>
      <c r="D563" s="1" t="n">
        <v>46185</v>
      </c>
      <c r="E563" s="1" t="n">
        <v>46218</v>
      </c>
      <c r="F563" t="inlineStr">
        <is>
          <t>KRONOBERGS LÄN</t>
        </is>
      </c>
      <c r="G563" t="inlineStr">
        <is>
          <t>UPPVIDINGE</t>
        </is>
      </c>
      <c r="I563" t="n">
        <v>6.3</v>
      </c>
      <c r="J563" t="n">
        <v>0</v>
      </c>
      <c r="K563" t="n">
        <v>0</v>
      </c>
      <c r="L563" t="n">
        <v>0</v>
      </c>
      <c r="M563" t="n">
        <v>0</v>
      </c>
      <c r="N563" t="n">
        <v>0</v>
      </c>
      <c r="O563" t="n">
        <v>0</v>
      </c>
      <c r="P563" t="n">
        <v>0</v>
      </c>
      <c r="Q563" t="n">
        <v>0</v>
      </c>
      <c r="R563" t="n">
        <v>0</v>
      </c>
      <c r="S563" t="n">
        <v>0</v>
      </c>
      <c r="T563" t="n">
        <v>0</v>
      </c>
      <c r="U563" s="2" t="inlineStr"/>
    </row>
    <row r="564" ht="15" customHeight="1">
      <c r="A564" t="inlineStr">
        <is>
          <t>A 54072-2024</t>
        </is>
      </c>
      <c r="B564" t="inlineStr">
        <is>
          <t>avverkningsanmälan</t>
        </is>
      </c>
      <c r="C564" t="inlineStr">
        <is>
          <t>Föryngringsavverkning</t>
        </is>
      </c>
      <c r="D564" s="1" t="n">
        <v>45615</v>
      </c>
      <c r="E564" s="1" t="n">
        <v>46218</v>
      </c>
      <c r="F564" t="inlineStr">
        <is>
          <t>KRONOBERGS LÄN</t>
        </is>
      </c>
      <c r="G564" t="inlineStr">
        <is>
          <t>UPPVIDINGE</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24932-2023</t>
        </is>
      </c>
      <c r="B565" t="inlineStr">
        <is>
          <t>avverkningsanmälan</t>
        </is>
      </c>
      <c r="C565" t="inlineStr">
        <is>
          <t>Avverkning för annat ändamål</t>
        </is>
      </c>
      <c r="D565" s="1" t="n">
        <v>45085</v>
      </c>
      <c r="E565" s="1" t="n">
        <v>46218</v>
      </c>
      <c r="F565" t="inlineStr">
        <is>
          <t>KRONOBERGS LÄN</t>
        </is>
      </c>
      <c r="G565" t="inlineStr">
        <is>
          <t>UPPVIDINGE</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61711-2025</t>
        </is>
      </c>
      <c r="B566" t="inlineStr">
        <is>
          <t>avverkningsanmälan</t>
        </is>
      </c>
      <c r="C566" t="inlineStr">
        <is>
          <t>Föryngringsavverkning</t>
        </is>
      </c>
      <c r="D566" s="1" t="n">
        <v>46002</v>
      </c>
      <c r="E566" s="1" t="n">
        <v>46218</v>
      </c>
      <c r="F566" t="inlineStr">
        <is>
          <t>KRONOBERGS LÄN</t>
        </is>
      </c>
      <c r="G566" t="inlineStr">
        <is>
          <t>UPPVIDINGE</t>
        </is>
      </c>
      <c r="H566" t="inlineStr">
        <is>
          <t>Sveaskog</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26681-2026</t>
        </is>
      </c>
      <c r="B567" t="inlineStr">
        <is>
          <t>avverkningsanmälan</t>
        </is>
      </c>
      <c r="C567" t="inlineStr">
        <is>
          <t>Föryngringsavverkning</t>
        </is>
      </c>
      <c r="D567" s="1" t="n">
        <v>46184</v>
      </c>
      <c r="E567" s="1" t="n">
        <v>46218</v>
      </c>
      <c r="F567" t="inlineStr">
        <is>
          <t>KRONOBERGS LÄN</t>
        </is>
      </c>
      <c r="G567" t="inlineStr">
        <is>
          <t>UPPVIDINGE</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30886-2023</t>
        </is>
      </c>
      <c r="B568" t="inlineStr">
        <is>
          <t>avverkningsanmälan</t>
        </is>
      </c>
      <c r="C568" t="inlineStr">
        <is>
          <t>Föryngringsavverkning</t>
        </is>
      </c>
      <c r="D568" s="1" t="n">
        <v>45113</v>
      </c>
      <c r="E568" s="1" t="n">
        <v>46218</v>
      </c>
      <c r="F568" t="inlineStr">
        <is>
          <t>KRONOBERGS LÄN</t>
        </is>
      </c>
      <c r="G568" t="inlineStr">
        <is>
          <t>UPPVIDINGE</t>
        </is>
      </c>
      <c r="I568" t="n">
        <v>2.6</v>
      </c>
      <c r="J568" t="n">
        <v>0</v>
      </c>
      <c r="K568" t="n">
        <v>0</v>
      </c>
      <c r="L568" t="n">
        <v>0</v>
      </c>
      <c r="M568" t="n">
        <v>0</v>
      </c>
      <c r="N568" t="n">
        <v>0</v>
      </c>
      <c r="O568" t="n">
        <v>0</v>
      </c>
      <c r="P568" t="n">
        <v>0</v>
      </c>
      <c r="Q568" t="n">
        <v>0</v>
      </c>
      <c r="R568" t="n">
        <v>0</v>
      </c>
      <c r="S568" t="n">
        <v>0</v>
      </c>
      <c r="T568" t="n">
        <v>0</v>
      </c>
      <c r="U568" s="2" t="inlineStr"/>
    </row>
    <row r="569" ht="15" customHeight="1">
      <c r="A569" t="inlineStr">
        <is>
          <t>A 31565-2023</t>
        </is>
      </c>
      <c r="B569" t="inlineStr">
        <is>
          <t>avverkningsanmälan</t>
        </is>
      </c>
      <c r="C569" t="inlineStr">
        <is>
          <t>Föryngringsavverkning</t>
        </is>
      </c>
      <c r="D569" s="1" t="n">
        <v>45117</v>
      </c>
      <c r="E569" s="1" t="n">
        <v>46218</v>
      </c>
      <c r="F569" t="inlineStr">
        <is>
          <t>KRONOBERGS LÄN</t>
        </is>
      </c>
      <c r="G569" t="inlineStr">
        <is>
          <t>UPPVIDINGE</t>
        </is>
      </c>
      <c r="I569" t="n">
        <v>6.9</v>
      </c>
      <c r="J569" t="n">
        <v>0</v>
      </c>
      <c r="K569" t="n">
        <v>0</v>
      </c>
      <c r="L569" t="n">
        <v>0</v>
      </c>
      <c r="M569" t="n">
        <v>0</v>
      </c>
      <c r="N569" t="n">
        <v>0</v>
      </c>
      <c r="O569" t="n">
        <v>0</v>
      </c>
      <c r="P569" t="n">
        <v>0</v>
      </c>
      <c r="Q569" t="n">
        <v>0</v>
      </c>
      <c r="R569" t="n">
        <v>0</v>
      </c>
      <c r="S569" t="n">
        <v>0</v>
      </c>
      <c r="T569" t="n">
        <v>0</v>
      </c>
      <c r="U569" s="2" t="inlineStr"/>
    </row>
    <row r="570" ht="15" customHeight="1">
      <c r="A570" t="inlineStr">
        <is>
          <t>A 61710-2025</t>
        </is>
      </c>
      <c r="B570" t="inlineStr">
        <is>
          <t>avverkningsanmälan</t>
        </is>
      </c>
      <c r="C570" t="inlineStr">
        <is>
          <t>Föryngringsavverkning</t>
        </is>
      </c>
      <c r="D570" s="1" t="n">
        <v>46002</v>
      </c>
      <c r="E570" s="1" t="n">
        <v>46218</v>
      </c>
      <c r="F570" t="inlineStr">
        <is>
          <t>KRONOBERGS LÄN</t>
        </is>
      </c>
      <c r="G570" t="inlineStr">
        <is>
          <t>UPPVIDINGE</t>
        </is>
      </c>
      <c r="H570" t="inlineStr">
        <is>
          <t>Sveaskog</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8123-2024</t>
        </is>
      </c>
      <c r="B571" t="inlineStr">
        <is>
          <t>avverkningsanmälan</t>
        </is>
      </c>
      <c r="C571" t="inlineStr">
        <is>
          <t>Föryngringsavverkning</t>
        </is>
      </c>
      <c r="D571" s="1" t="n">
        <v>45351</v>
      </c>
      <c r="E571" s="1" t="n">
        <v>46218</v>
      </c>
      <c r="F571" t="inlineStr">
        <is>
          <t>KRONOBERGS LÄN</t>
        </is>
      </c>
      <c r="G571" t="inlineStr">
        <is>
          <t>UPPVIDINGE</t>
        </is>
      </c>
      <c r="I571" t="n">
        <v>7</v>
      </c>
      <c r="J571" t="n">
        <v>0</v>
      </c>
      <c r="K571" t="n">
        <v>0</v>
      </c>
      <c r="L571" t="n">
        <v>0</v>
      </c>
      <c r="M571" t="n">
        <v>0</v>
      </c>
      <c r="N571" t="n">
        <v>0</v>
      </c>
      <c r="O571" t="n">
        <v>0</v>
      </c>
      <c r="P571" t="n">
        <v>0</v>
      </c>
      <c r="Q571" t="n">
        <v>0</v>
      </c>
      <c r="R571" t="n">
        <v>0</v>
      </c>
      <c r="S571" t="n">
        <v>0</v>
      </c>
      <c r="T571" t="n">
        <v>0</v>
      </c>
      <c r="U571" s="2" t="inlineStr"/>
    </row>
    <row r="572" ht="15" customHeight="1">
      <c r="A572" t="inlineStr">
        <is>
          <t>A 60043-2024</t>
        </is>
      </c>
      <c r="B572" t="inlineStr">
        <is>
          <t>avverkningsanmälan</t>
        </is>
      </c>
      <c r="C572" t="inlineStr">
        <is>
          <t>Föryngringsavverkning</t>
        </is>
      </c>
      <c r="D572" s="1" t="n">
        <v>45642</v>
      </c>
      <c r="E572" s="1" t="n">
        <v>46218</v>
      </c>
      <c r="F572" t="inlineStr">
        <is>
          <t>KRONOBERGS LÄN</t>
        </is>
      </c>
      <c r="G572" t="inlineStr">
        <is>
          <t>UPPVIDINGE</t>
        </is>
      </c>
      <c r="H572" t="inlineStr">
        <is>
          <t>Sveaskog</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26887-2026</t>
        </is>
      </c>
      <c r="B573" t="inlineStr">
        <is>
          <t>avverkningsanmälan</t>
        </is>
      </c>
      <c r="C573" t="inlineStr">
        <is>
          <t>Föryngringsavverkning</t>
        </is>
      </c>
      <c r="D573" s="1" t="n">
        <v>46185</v>
      </c>
      <c r="E573" s="1" t="n">
        <v>46218</v>
      </c>
      <c r="F573" t="inlineStr">
        <is>
          <t>KRONOBERGS LÄN</t>
        </is>
      </c>
      <c r="G573" t="inlineStr">
        <is>
          <t>UPPVIDINGE</t>
        </is>
      </c>
      <c r="I573" t="n">
        <v>9.1</v>
      </c>
      <c r="J573" t="n">
        <v>0</v>
      </c>
      <c r="K573" t="n">
        <v>0</v>
      </c>
      <c r="L573" t="n">
        <v>0</v>
      </c>
      <c r="M573" t="n">
        <v>0</v>
      </c>
      <c r="N573" t="n">
        <v>0</v>
      </c>
      <c r="O573" t="n">
        <v>0</v>
      </c>
      <c r="P573" t="n">
        <v>0</v>
      </c>
      <c r="Q573" t="n">
        <v>0</v>
      </c>
      <c r="R573" t="n">
        <v>0</v>
      </c>
      <c r="S573" t="n">
        <v>0</v>
      </c>
      <c r="T573" t="n">
        <v>0</v>
      </c>
      <c r="U573" s="2" t="inlineStr"/>
    </row>
    <row r="574" ht="15" customHeight="1">
      <c r="A574" t="inlineStr">
        <is>
          <t>A 7678-2025</t>
        </is>
      </c>
      <c r="B574" t="inlineStr">
        <is>
          <t>avverkningsanmälan</t>
        </is>
      </c>
      <c r="C574" t="inlineStr">
        <is>
          <t>Föryngringsavverkning</t>
        </is>
      </c>
      <c r="D574" s="1" t="n">
        <v>45706</v>
      </c>
      <c r="E574" s="1" t="n">
        <v>46218</v>
      </c>
      <c r="F574" t="inlineStr">
        <is>
          <t>KRONOBERGS LÄN</t>
        </is>
      </c>
      <c r="G574" t="inlineStr">
        <is>
          <t>UPPVIDINGE</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62454-2025</t>
        </is>
      </c>
      <c r="B575" t="inlineStr">
        <is>
          <t>avverkningsanmälan</t>
        </is>
      </c>
      <c r="C575" t="inlineStr">
        <is>
          <t>Föryngringsavverkning</t>
        </is>
      </c>
      <c r="D575" s="1" t="n">
        <v>46007</v>
      </c>
      <c r="E575" s="1" t="n">
        <v>46218</v>
      </c>
      <c r="F575" t="inlineStr">
        <is>
          <t>KRONOBERGS LÄN</t>
        </is>
      </c>
      <c r="G575" t="inlineStr">
        <is>
          <t>UPPVIDINGE</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52190-2023</t>
        </is>
      </c>
      <c r="B576" t="inlineStr">
        <is>
          <t>avverkningsanmälan</t>
        </is>
      </c>
      <c r="C576" t="inlineStr">
        <is>
          <t>Avverkning för annat ändamål</t>
        </is>
      </c>
      <c r="D576" s="1" t="n">
        <v>45224</v>
      </c>
      <c r="E576" s="1" t="n">
        <v>46218</v>
      </c>
      <c r="F576" t="inlineStr">
        <is>
          <t>KRONOBERGS LÄN</t>
        </is>
      </c>
      <c r="G576" t="inlineStr">
        <is>
          <t>UPPVIDINGE</t>
        </is>
      </c>
      <c r="H576" t="inlineStr">
        <is>
          <t>Kommuner</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A 49618-2023</t>
        </is>
      </c>
      <c r="B577" t="inlineStr">
        <is>
          <t>avverkningsanmälan</t>
        </is>
      </c>
      <c r="C577" t="inlineStr">
        <is>
          <t>Föryngringsavverkning</t>
        </is>
      </c>
      <c r="D577" s="1" t="n">
        <v>45211</v>
      </c>
      <c r="E577" s="1" t="n">
        <v>46218</v>
      </c>
      <c r="F577" t="inlineStr">
        <is>
          <t>KRONOBERGS LÄN</t>
        </is>
      </c>
      <c r="G577" t="inlineStr">
        <is>
          <t>UPPVIDINGE</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36871-2023</t>
        </is>
      </c>
      <c r="B578" t="inlineStr">
        <is>
          <t>avverkningsanmälan</t>
        </is>
      </c>
      <c r="C578" t="inlineStr">
        <is>
          <t>Föryngringsavverkning</t>
        </is>
      </c>
      <c r="D578" s="1" t="n">
        <v>45154</v>
      </c>
      <c r="E578" s="1" t="n">
        <v>46218</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63521-2025</t>
        </is>
      </c>
      <c r="B579" t="inlineStr">
        <is>
          <t>avverkningsanmälan</t>
        </is>
      </c>
      <c r="C579" t="inlineStr">
        <is>
          <t>Föryngringsavverkning</t>
        </is>
      </c>
      <c r="D579" s="1" t="n">
        <v>46013</v>
      </c>
      <c r="E579" s="1" t="n">
        <v>46218</v>
      </c>
      <c r="F579" t="inlineStr">
        <is>
          <t>KRONOBERGS LÄN</t>
        </is>
      </c>
      <c r="G579" t="inlineStr">
        <is>
          <t>UPPVIDINGE</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20275-2026</t>
        </is>
      </c>
      <c r="B580" t="inlineStr">
        <is>
          <t>avverkningsanmälan</t>
        </is>
      </c>
      <c r="C580" t="inlineStr">
        <is>
          <t>Föryngringsavverkning</t>
        </is>
      </c>
      <c r="D580" s="1" t="n">
        <v>46139</v>
      </c>
      <c r="E580" s="1" t="n">
        <v>46218</v>
      </c>
      <c r="F580" t="inlineStr">
        <is>
          <t>KRONOBERGS LÄN</t>
        </is>
      </c>
      <c r="G580" t="inlineStr">
        <is>
          <t>UPPVIDINGE</t>
        </is>
      </c>
      <c r="I580" t="n">
        <v>4.1</v>
      </c>
      <c r="J580" t="n">
        <v>0</v>
      </c>
      <c r="K580" t="n">
        <v>0</v>
      </c>
      <c r="L580" t="n">
        <v>0</v>
      </c>
      <c r="M580" t="n">
        <v>0</v>
      </c>
      <c r="N580" t="n">
        <v>0</v>
      </c>
      <c r="O580" t="n">
        <v>0</v>
      </c>
      <c r="P580" t="n">
        <v>0</v>
      </c>
      <c r="Q580" t="n">
        <v>0</v>
      </c>
      <c r="R580" t="n">
        <v>0</v>
      </c>
      <c r="S580" t="n">
        <v>0</v>
      </c>
      <c r="T580" t="n">
        <v>0</v>
      </c>
      <c r="U580" s="2" t="inlineStr"/>
    </row>
    <row r="581" ht="15" customHeight="1">
      <c r="A581" t="inlineStr">
        <is>
          <t>A 27778-2026</t>
        </is>
      </c>
      <c r="B581" t="inlineStr">
        <is>
          <t>avverkningsanmälan</t>
        </is>
      </c>
      <c r="C581" t="inlineStr">
        <is>
          <t>Föryngringsavverkning</t>
        </is>
      </c>
      <c r="D581" s="1" t="n">
        <v>46191</v>
      </c>
      <c r="E581" s="1" t="n">
        <v>46218</v>
      </c>
      <c r="F581" t="inlineStr">
        <is>
          <t>KRONOBERGS LÄN</t>
        </is>
      </c>
      <c r="G581" t="inlineStr">
        <is>
          <t>UPPVIDINGE</t>
        </is>
      </c>
      <c r="I581" t="n">
        <v>7.5</v>
      </c>
      <c r="J581" t="n">
        <v>0</v>
      </c>
      <c r="K581" t="n">
        <v>0</v>
      </c>
      <c r="L581" t="n">
        <v>0</v>
      </c>
      <c r="M581" t="n">
        <v>0</v>
      </c>
      <c r="N581" t="n">
        <v>0</v>
      </c>
      <c r="O581" t="n">
        <v>0</v>
      </c>
      <c r="P581" t="n">
        <v>0</v>
      </c>
      <c r="Q581" t="n">
        <v>0</v>
      </c>
      <c r="R581" t="n">
        <v>0</v>
      </c>
      <c r="S581" t="n">
        <v>0</v>
      </c>
      <c r="T581" t="n">
        <v>0</v>
      </c>
      <c r="U581" s="2" t="inlineStr"/>
    </row>
    <row r="582" ht="15" customHeight="1">
      <c r="A582" t="inlineStr">
        <is>
          <t>A 63520-2025</t>
        </is>
      </c>
      <c r="B582" t="inlineStr">
        <is>
          <t>avverkningsanmälan</t>
        </is>
      </c>
      <c r="C582" t="inlineStr">
        <is>
          <t>Föryngringsavverkning</t>
        </is>
      </c>
      <c r="D582" s="1" t="n">
        <v>46013</v>
      </c>
      <c r="E582" s="1" t="n">
        <v>46218</v>
      </c>
      <c r="F582" t="inlineStr">
        <is>
          <t>KRONOBERGS LÄN</t>
        </is>
      </c>
      <c r="G582" t="inlineStr">
        <is>
          <t>UPPVIDINGE</t>
        </is>
      </c>
      <c r="I582" t="n">
        <v>0.8</v>
      </c>
      <c r="J582" t="n">
        <v>0</v>
      </c>
      <c r="K582" t="n">
        <v>0</v>
      </c>
      <c r="L582" t="n">
        <v>0</v>
      </c>
      <c r="M582" t="n">
        <v>0</v>
      </c>
      <c r="N582" t="n">
        <v>0</v>
      </c>
      <c r="O582" t="n">
        <v>0</v>
      </c>
      <c r="P582" t="n">
        <v>0</v>
      </c>
      <c r="Q582" t="n">
        <v>0</v>
      </c>
      <c r="R582" t="n">
        <v>0</v>
      </c>
      <c r="S582" t="n">
        <v>0</v>
      </c>
      <c r="T582" t="n">
        <v>0</v>
      </c>
      <c r="U582" s="2" t="inlineStr"/>
    </row>
    <row r="583" ht="15" customHeight="1">
      <c r="A583" t="inlineStr">
        <is>
          <t>A 39239-2023</t>
        </is>
      </c>
      <c r="B583" t="inlineStr">
        <is>
          <t>avverkningsanmälan</t>
        </is>
      </c>
      <c r="C583" t="inlineStr">
        <is>
          <t>Föryngringsavverkning</t>
        </is>
      </c>
      <c r="D583" s="1" t="n">
        <v>45162</v>
      </c>
      <c r="E583" s="1" t="n">
        <v>46218</v>
      </c>
      <c r="F583" t="inlineStr">
        <is>
          <t>KRONOBERGS LÄN</t>
        </is>
      </c>
      <c r="G583" t="inlineStr">
        <is>
          <t>UPPVIDINGE</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36193-2023</t>
        </is>
      </c>
      <c r="B584" t="inlineStr">
        <is>
          <t>avverkningsanmälan</t>
        </is>
      </c>
      <c r="C584" t="inlineStr">
        <is>
          <t>Föryngringsavverkning</t>
        </is>
      </c>
      <c r="D584" s="1" t="n">
        <v>45149</v>
      </c>
      <c r="E584" s="1" t="n">
        <v>46218</v>
      </c>
      <c r="F584" t="inlineStr">
        <is>
          <t>KRONOBERGS LÄN</t>
        </is>
      </c>
      <c r="G584" t="inlineStr">
        <is>
          <t>UPPVIDINGE</t>
        </is>
      </c>
      <c r="I584" t="n">
        <v>2.1</v>
      </c>
      <c r="J584" t="n">
        <v>0</v>
      </c>
      <c r="K584" t="n">
        <v>0</v>
      </c>
      <c r="L584" t="n">
        <v>0</v>
      </c>
      <c r="M584" t="n">
        <v>0</v>
      </c>
      <c r="N584" t="n">
        <v>0</v>
      </c>
      <c r="O584" t="n">
        <v>0</v>
      </c>
      <c r="P584" t="n">
        <v>0</v>
      </c>
      <c r="Q584" t="n">
        <v>0</v>
      </c>
      <c r="R584" t="n">
        <v>0</v>
      </c>
      <c r="S584" t="n">
        <v>0</v>
      </c>
      <c r="T584" t="n">
        <v>0</v>
      </c>
      <c r="U584" s="2" t="inlineStr"/>
    </row>
    <row r="585" ht="15" customHeight="1">
      <c r="A585" t="inlineStr">
        <is>
          <t>A 38860-2024</t>
        </is>
      </c>
      <c r="B585" t="inlineStr">
        <is>
          <t>avverkningsanmälan</t>
        </is>
      </c>
      <c r="C585" t="inlineStr">
        <is>
          <t>Avverkning för annat ändamål</t>
        </is>
      </c>
      <c r="D585" s="1" t="n">
        <v>45547</v>
      </c>
      <c r="E585" s="1" t="n">
        <v>46218</v>
      </c>
      <c r="F585" t="inlineStr">
        <is>
          <t>KRONOBERGS LÄN</t>
        </is>
      </c>
      <c r="G585" t="inlineStr">
        <is>
          <t>UPPVIDINGE</t>
        </is>
      </c>
      <c r="I585" t="n">
        <v>0.3</v>
      </c>
      <c r="J585" t="n">
        <v>0</v>
      </c>
      <c r="K585" t="n">
        <v>0</v>
      </c>
      <c r="L585" t="n">
        <v>0</v>
      </c>
      <c r="M585" t="n">
        <v>0</v>
      </c>
      <c r="N585" t="n">
        <v>0</v>
      </c>
      <c r="O585" t="n">
        <v>0</v>
      </c>
      <c r="P585" t="n">
        <v>0</v>
      </c>
      <c r="Q585" t="n">
        <v>0</v>
      </c>
      <c r="R585" t="n">
        <v>0</v>
      </c>
      <c r="S585" t="n">
        <v>0</v>
      </c>
      <c r="T585" t="n">
        <v>0</v>
      </c>
      <c r="U585" s="2" t="inlineStr"/>
    </row>
    <row r="586" ht="15" customHeight="1">
      <c r="A586" t="inlineStr">
        <is>
          <t>A 39094-2023</t>
        </is>
      </c>
      <c r="B586" t="inlineStr">
        <is>
          <t>avverkningsanmälan</t>
        </is>
      </c>
      <c r="C586" t="inlineStr">
        <is>
          <t>Föryngringsavverkning</t>
        </is>
      </c>
      <c r="D586" s="1" t="n">
        <v>45164</v>
      </c>
      <c r="E586" s="1" t="n">
        <v>46218</v>
      </c>
      <c r="F586" t="inlineStr">
        <is>
          <t>KRONOBERGS LÄN</t>
        </is>
      </c>
      <c r="G586" t="inlineStr">
        <is>
          <t>UPPVIDINGE</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27849-2026</t>
        </is>
      </c>
      <c r="B587" t="inlineStr">
        <is>
          <t>avverkningsanmälan</t>
        </is>
      </c>
      <c r="C587" t="inlineStr">
        <is>
          <t>Föryngringsavverkning</t>
        </is>
      </c>
      <c r="D587" s="1" t="n">
        <v>46191</v>
      </c>
      <c r="E587" s="1" t="n">
        <v>46218</v>
      </c>
      <c r="F587" t="inlineStr">
        <is>
          <t>KRONOBERGS LÄN</t>
        </is>
      </c>
      <c r="G587" t="inlineStr">
        <is>
          <t>UPPVIDINGE</t>
        </is>
      </c>
      <c r="I587" t="n">
        <v>5.1</v>
      </c>
      <c r="J587" t="n">
        <v>0</v>
      </c>
      <c r="K587" t="n">
        <v>0</v>
      </c>
      <c r="L587" t="n">
        <v>0</v>
      </c>
      <c r="M587" t="n">
        <v>0</v>
      </c>
      <c r="N587" t="n">
        <v>0</v>
      </c>
      <c r="O587" t="n">
        <v>0</v>
      </c>
      <c r="P587" t="n">
        <v>0</v>
      </c>
      <c r="Q587" t="n">
        <v>0</v>
      </c>
      <c r="R587" t="n">
        <v>0</v>
      </c>
      <c r="S587" t="n">
        <v>0</v>
      </c>
      <c r="T587" t="n">
        <v>0</v>
      </c>
      <c r="U587" s="2" t="inlineStr"/>
    </row>
    <row r="588" ht="15" customHeight="1">
      <c r="A588" t="inlineStr">
        <is>
          <t>A 49589-2024</t>
        </is>
      </c>
      <c r="B588" t="inlineStr">
        <is>
          <t>avverkningsanmälan</t>
        </is>
      </c>
      <c r="C588" t="inlineStr">
        <is>
          <t>Föryngringsavverkning</t>
        </is>
      </c>
      <c r="D588" s="1" t="n">
        <v>45596</v>
      </c>
      <c r="E588" s="1" t="n">
        <v>46218</v>
      </c>
      <c r="F588" t="inlineStr">
        <is>
          <t>KRONOBERGS LÄN</t>
        </is>
      </c>
      <c r="G588" t="inlineStr">
        <is>
          <t>UPPVIDINGE</t>
        </is>
      </c>
      <c r="I588" t="n">
        <v>0.4</v>
      </c>
      <c r="J588" t="n">
        <v>0</v>
      </c>
      <c r="K588" t="n">
        <v>0</v>
      </c>
      <c r="L588" t="n">
        <v>0</v>
      </c>
      <c r="M588" t="n">
        <v>0</v>
      </c>
      <c r="N588" t="n">
        <v>0</v>
      </c>
      <c r="O588" t="n">
        <v>0</v>
      </c>
      <c r="P588" t="n">
        <v>0</v>
      </c>
      <c r="Q588" t="n">
        <v>0</v>
      </c>
      <c r="R588" t="n">
        <v>0</v>
      </c>
      <c r="S588" t="n">
        <v>0</v>
      </c>
      <c r="T588" t="n">
        <v>0</v>
      </c>
      <c r="U588" s="2" t="inlineStr"/>
    </row>
    <row r="589" ht="15" customHeight="1">
      <c r="A589" t="inlineStr">
        <is>
          <t>A 21746-2026</t>
        </is>
      </c>
      <c r="B589" t="inlineStr">
        <is>
          <t>avverkningsanmälan</t>
        </is>
      </c>
      <c r="C589" t="inlineStr">
        <is>
          <t>Föryngringsavverkning</t>
        </is>
      </c>
      <c r="D589" s="1" t="n">
        <v>46149</v>
      </c>
      <c r="E589" s="1" t="n">
        <v>46218</v>
      </c>
      <c r="F589" t="inlineStr">
        <is>
          <t>KRONOBERGS LÄN</t>
        </is>
      </c>
      <c r="G589" t="inlineStr">
        <is>
          <t>UPPVIDINGE</t>
        </is>
      </c>
      <c r="I589" t="n">
        <v>3.8</v>
      </c>
      <c r="J589" t="n">
        <v>0</v>
      </c>
      <c r="K589" t="n">
        <v>0</v>
      </c>
      <c r="L589" t="n">
        <v>0</v>
      </c>
      <c r="M589" t="n">
        <v>0</v>
      </c>
      <c r="N589" t="n">
        <v>0</v>
      </c>
      <c r="O589" t="n">
        <v>0</v>
      </c>
      <c r="P589" t="n">
        <v>0</v>
      </c>
      <c r="Q589" t="n">
        <v>0</v>
      </c>
      <c r="R589" t="n">
        <v>0</v>
      </c>
      <c r="S589" t="n">
        <v>0</v>
      </c>
      <c r="T589" t="n">
        <v>0</v>
      </c>
      <c r="U589" s="2" t="inlineStr"/>
    </row>
    <row r="590" ht="15" customHeight="1">
      <c r="A590" t="inlineStr">
        <is>
          <t>A 54068-2024</t>
        </is>
      </c>
      <c r="B590" t="inlineStr">
        <is>
          <t>avverkningsanmälan</t>
        </is>
      </c>
      <c r="C590" t="inlineStr">
        <is>
          <t>Föryngringsavverkning</t>
        </is>
      </c>
      <c r="D590" s="1" t="n">
        <v>45615</v>
      </c>
      <c r="E590" s="1" t="n">
        <v>46218</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20278-2026</t>
        </is>
      </c>
      <c r="B591" t="inlineStr">
        <is>
          <t>avverkningsanmälan</t>
        </is>
      </c>
      <c r="C591" t="inlineStr">
        <is>
          <t>Föryngringsavverkning</t>
        </is>
      </c>
      <c r="D591" s="1" t="n">
        <v>46139</v>
      </c>
      <c r="E591" s="1" t="n">
        <v>46218</v>
      </c>
      <c r="F591" t="inlineStr">
        <is>
          <t>KRONOBERGS LÄN</t>
        </is>
      </c>
      <c r="G591" t="inlineStr">
        <is>
          <t>UPPVIDINGE</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11807-2024</t>
        </is>
      </c>
      <c r="B592" t="inlineStr">
        <is>
          <t>avverkningsanmälan</t>
        </is>
      </c>
      <c r="C592" t="inlineStr">
        <is>
          <t>Föryngringsavverkning</t>
        </is>
      </c>
      <c r="D592" s="1" t="n">
        <v>45375</v>
      </c>
      <c r="E592" s="1" t="n">
        <v>46218</v>
      </c>
      <c r="F592" t="inlineStr">
        <is>
          <t>KRONOBERGS LÄN</t>
        </is>
      </c>
      <c r="G592" t="inlineStr">
        <is>
          <t>UPPVIDINGE</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334-2026</t>
        </is>
      </c>
      <c r="B593" t="inlineStr">
        <is>
          <t>avverkningsanmälan</t>
        </is>
      </c>
      <c r="C593" t="inlineStr">
        <is>
          <t>Föryngringsavverkning</t>
        </is>
      </c>
      <c r="D593" s="1" t="n">
        <v>46027</v>
      </c>
      <c r="E593" s="1" t="n">
        <v>46218</v>
      </c>
      <c r="F593" t="inlineStr">
        <is>
          <t>KRONOBERGS LÄN</t>
        </is>
      </c>
      <c r="G593" t="inlineStr">
        <is>
          <t>UPPVIDINGE</t>
        </is>
      </c>
      <c r="I593" t="n">
        <v>2.5</v>
      </c>
      <c r="J593" t="n">
        <v>0</v>
      </c>
      <c r="K593" t="n">
        <v>0</v>
      </c>
      <c r="L593" t="n">
        <v>0</v>
      </c>
      <c r="M593" t="n">
        <v>0</v>
      </c>
      <c r="N593" t="n">
        <v>0</v>
      </c>
      <c r="O593" t="n">
        <v>0</v>
      </c>
      <c r="P593" t="n">
        <v>0</v>
      </c>
      <c r="Q593" t="n">
        <v>0</v>
      </c>
      <c r="R593" t="n">
        <v>0</v>
      </c>
      <c r="S593" t="n">
        <v>0</v>
      </c>
      <c r="T593" t="n">
        <v>0</v>
      </c>
      <c r="U593" s="2" t="inlineStr"/>
    </row>
    <row r="594" ht="15" customHeight="1">
      <c r="A594" t="inlineStr">
        <is>
          <t>A 337-2026</t>
        </is>
      </c>
      <c r="B594" t="inlineStr">
        <is>
          <t>avverkningsanmälan</t>
        </is>
      </c>
      <c r="C594" t="inlineStr">
        <is>
          <t>Föryngringsavverkning</t>
        </is>
      </c>
      <c r="D594" s="1" t="n">
        <v>46027</v>
      </c>
      <c r="E594" s="1" t="n">
        <v>46218</v>
      </c>
      <c r="F594" t="inlineStr">
        <is>
          <t>KRONOBERGS LÄN</t>
        </is>
      </c>
      <c r="G594" t="inlineStr">
        <is>
          <t>UPPVIDINGE</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503-2026</t>
        </is>
      </c>
      <c r="B595" t="inlineStr">
        <is>
          <t>avverkningsanmälan</t>
        </is>
      </c>
      <c r="C595" t="inlineStr">
        <is>
          <t>Föryngringsavverkning</t>
        </is>
      </c>
      <c r="D595" s="1" t="n">
        <v>46029</v>
      </c>
      <c r="E595" s="1" t="n">
        <v>46218</v>
      </c>
      <c r="F595" t="inlineStr">
        <is>
          <t>KRONOBERGS LÄN</t>
        </is>
      </c>
      <c r="G595" t="inlineStr">
        <is>
          <t>UPPVIDINGE</t>
        </is>
      </c>
      <c r="I595" t="n">
        <v>3.5</v>
      </c>
      <c r="J595" t="n">
        <v>0</v>
      </c>
      <c r="K595" t="n">
        <v>0</v>
      </c>
      <c r="L595" t="n">
        <v>0</v>
      </c>
      <c r="M595" t="n">
        <v>0</v>
      </c>
      <c r="N595" t="n">
        <v>0</v>
      </c>
      <c r="O595" t="n">
        <v>0</v>
      </c>
      <c r="P595" t="n">
        <v>0</v>
      </c>
      <c r="Q595" t="n">
        <v>0</v>
      </c>
      <c r="R595" t="n">
        <v>0</v>
      </c>
      <c r="S595" t="n">
        <v>0</v>
      </c>
      <c r="T595" t="n">
        <v>0</v>
      </c>
      <c r="U595" s="2" t="inlineStr"/>
    </row>
    <row r="596" ht="15" customHeight="1">
      <c r="A596" t="inlineStr">
        <is>
          <t>A 23713-2024</t>
        </is>
      </c>
      <c r="B596" t="inlineStr">
        <is>
          <t>avverkningsanmälan</t>
        </is>
      </c>
      <c r="C596" t="inlineStr">
        <is>
          <t>Föryngringsavverkning</t>
        </is>
      </c>
      <c r="D596" s="1" t="n">
        <v>45454</v>
      </c>
      <c r="E596" s="1" t="n">
        <v>46218</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28170-2026</t>
        </is>
      </c>
      <c r="B597" t="inlineStr">
        <is>
          <t>avverkningsanmälan</t>
        </is>
      </c>
      <c r="C597" t="inlineStr">
        <is>
          <t>Föryngringsavverkning</t>
        </is>
      </c>
      <c r="D597" s="1" t="n">
        <v>46195</v>
      </c>
      <c r="E597" s="1" t="n">
        <v>46218</v>
      </c>
      <c r="F597" t="inlineStr">
        <is>
          <t>KRONOBERGS LÄN</t>
        </is>
      </c>
      <c r="G597" t="inlineStr">
        <is>
          <t>UPPVIDINGE</t>
        </is>
      </c>
      <c r="I597" t="n">
        <v>3.2</v>
      </c>
      <c r="J597" t="n">
        <v>0</v>
      </c>
      <c r="K597" t="n">
        <v>0</v>
      </c>
      <c r="L597" t="n">
        <v>0</v>
      </c>
      <c r="M597" t="n">
        <v>0</v>
      </c>
      <c r="N597" t="n">
        <v>0</v>
      </c>
      <c r="O597" t="n">
        <v>0</v>
      </c>
      <c r="P597" t="n">
        <v>0</v>
      </c>
      <c r="Q597" t="n">
        <v>0</v>
      </c>
      <c r="R597" t="n">
        <v>0</v>
      </c>
      <c r="S597" t="n">
        <v>0</v>
      </c>
      <c r="T597" t="n">
        <v>0</v>
      </c>
      <c r="U597" s="2" t="inlineStr"/>
    </row>
    <row r="598" ht="15" customHeight="1">
      <c r="A598" t="inlineStr">
        <is>
          <t>A 764-2026</t>
        </is>
      </c>
      <c r="B598" t="inlineStr">
        <is>
          <t>avverkningsanmälan</t>
        </is>
      </c>
      <c r="C598" t="inlineStr">
        <is>
          <t>Föryngringsavverkning</t>
        </is>
      </c>
      <c r="D598" s="1" t="n">
        <v>46029</v>
      </c>
      <c r="E598" s="1" t="n">
        <v>46218</v>
      </c>
      <c r="F598" t="inlineStr">
        <is>
          <t>KRONOBERGS LÄN</t>
        </is>
      </c>
      <c r="G598" t="inlineStr">
        <is>
          <t>UPPVIDINGE</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505-2026</t>
        </is>
      </c>
      <c r="B599" t="inlineStr">
        <is>
          <t>avverkningsanmälan</t>
        </is>
      </c>
      <c r="C599" t="inlineStr">
        <is>
          <t>Föryngringsavverkning</t>
        </is>
      </c>
      <c r="D599" s="1" t="n">
        <v>46029</v>
      </c>
      <c r="E599" s="1" t="n">
        <v>46218</v>
      </c>
      <c r="F599" t="inlineStr">
        <is>
          <t>KRONOBERGS LÄN</t>
        </is>
      </c>
      <c r="G599" t="inlineStr">
        <is>
          <t>UPPVIDINGE</t>
        </is>
      </c>
      <c r="I599" t="n">
        <v>1.8</v>
      </c>
      <c r="J599" t="n">
        <v>0</v>
      </c>
      <c r="K599" t="n">
        <v>0</v>
      </c>
      <c r="L599" t="n">
        <v>0</v>
      </c>
      <c r="M599" t="n">
        <v>0</v>
      </c>
      <c r="N599" t="n">
        <v>0</v>
      </c>
      <c r="O599" t="n">
        <v>0</v>
      </c>
      <c r="P599" t="n">
        <v>0</v>
      </c>
      <c r="Q599" t="n">
        <v>0</v>
      </c>
      <c r="R599" t="n">
        <v>0</v>
      </c>
      <c r="S599" t="n">
        <v>0</v>
      </c>
      <c r="T599" t="n">
        <v>0</v>
      </c>
      <c r="U599" s="2" t="inlineStr"/>
    </row>
    <row r="600" ht="15" customHeight="1">
      <c r="A600" t="inlineStr">
        <is>
          <t>A 48277-2022</t>
        </is>
      </c>
      <c r="B600" t="inlineStr">
        <is>
          <t>avverkningsanmälan</t>
        </is>
      </c>
      <c r="C600" t="inlineStr">
        <is>
          <t>Föryngringsavverkning</t>
        </is>
      </c>
      <c r="D600" s="1" t="n">
        <v>44858</v>
      </c>
      <c r="E600" s="1" t="n">
        <v>46218</v>
      </c>
      <c r="F600" t="inlineStr">
        <is>
          <t>KRONOBERGS LÄN</t>
        </is>
      </c>
      <c r="G600" t="inlineStr">
        <is>
          <t>UPPVIDINGE</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15756-2024</t>
        </is>
      </c>
      <c r="B601" t="inlineStr">
        <is>
          <t>avverkningsanmälan</t>
        </is>
      </c>
      <c r="C601" t="inlineStr">
        <is>
          <t>Föryngringsavverkning</t>
        </is>
      </c>
      <c r="D601" s="1" t="n">
        <v>45404</v>
      </c>
      <c r="E601" s="1" t="n">
        <v>46218</v>
      </c>
      <c r="F601" t="inlineStr">
        <is>
          <t>KRONOBERGS LÄN</t>
        </is>
      </c>
      <c r="G601" t="inlineStr">
        <is>
          <t>UPPVIDINGE</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766-2026</t>
        </is>
      </c>
      <c r="B602" t="inlineStr">
        <is>
          <t>avverkningsanmälan</t>
        </is>
      </c>
      <c r="C602" t="inlineStr">
        <is>
          <t>Föryngringsavverkning</t>
        </is>
      </c>
      <c r="D602" s="1" t="n">
        <v>46029</v>
      </c>
      <c r="E602" s="1" t="n">
        <v>46218</v>
      </c>
      <c r="F602" t="inlineStr">
        <is>
          <t>KRONOBERGS LÄN</t>
        </is>
      </c>
      <c r="G602" t="inlineStr">
        <is>
          <t>UPPVIDINGE</t>
        </is>
      </c>
      <c r="I602" t="n">
        <v>2.5</v>
      </c>
      <c r="J602" t="n">
        <v>0</v>
      </c>
      <c r="K602" t="n">
        <v>0</v>
      </c>
      <c r="L602" t="n">
        <v>0</v>
      </c>
      <c r="M602" t="n">
        <v>0</v>
      </c>
      <c r="N602" t="n">
        <v>0</v>
      </c>
      <c r="O602" t="n">
        <v>0</v>
      </c>
      <c r="P602" t="n">
        <v>0</v>
      </c>
      <c r="Q602" t="n">
        <v>0</v>
      </c>
      <c r="R602" t="n">
        <v>0</v>
      </c>
      <c r="S602" t="n">
        <v>0</v>
      </c>
      <c r="T602" t="n">
        <v>0</v>
      </c>
      <c r="U602" s="2" t="inlineStr"/>
    </row>
    <row r="603" ht="15" customHeight="1">
      <c r="A603" t="inlineStr">
        <is>
          <t>A 22037-2026</t>
        </is>
      </c>
      <c r="B603" t="inlineStr">
        <is>
          <t>avverkningsanmälan</t>
        </is>
      </c>
      <c r="C603" t="inlineStr">
        <is>
          <t>Föryngringsavverkning</t>
        </is>
      </c>
      <c r="D603" s="1" t="n">
        <v>46153</v>
      </c>
      <c r="E603" s="1" t="n">
        <v>46218</v>
      </c>
      <c r="F603" t="inlineStr">
        <is>
          <t>KRONOBERGS LÄN</t>
        </is>
      </c>
      <c r="G603" t="inlineStr">
        <is>
          <t>UPPVIDINGE</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22041-2026</t>
        </is>
      </c>
      <c r="B604" t="inlineStr">
        <is>
          <t>avverkningsanmälan</t>
        </is>
      </c>
      <c r="C604" t="inlineStr">
        <is>
          <t>Föryngringsavverkning</t>
        </is>
      </c>
      <c r="D604" s="1" t="n">
        <v>46153</v>
      </c>
      <c r="E604" s="1" t="n">
        <v>46218</v>
      </c>
      <c r="F604" t="inlineStr">
        <is>
          <t>KRONOBERGS LÄN</t>
        </is>
      </c>
      <c r="G604" t="inlineStr">
        <is>
          <t>UPPVIDINGE</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28090-2024</t>
        </is>
      </c>
      <c r="B605" t="inlineStr">
        <is>
          <t>avverkningsanmälan</t>
        </is>
      </c>
      <c r="C605" t="inlineStr">
        <is>
          <t>Föryngringsavverkning</t>
        </is>
      </c>
      <c r="D605" s="1" t="n">
        <v>45476</v>
      </c>
      <c r="E605" s="1" t="n">
        <v>46218</v>
      </c>
      <c r="F605" t="inlineStr">
        <is>
          <t>KRONOBERGS LÄN</t>
        </is>
      </c>
      <c r="G605" t="inlineStr">
        <is>
          <t>UPPVIDINGE</t>
        </is>
      </c>
      <c r="I605" t="n">
        <v>4.6</v>
      </c>
      <c r="J605" t="n">
        <v>0</v>
      </c>
      <c r="K605" t="n">
        <v>0</v>
      </c>
      <c r="L605" t="n">
        <v>0</v>
      </c>
      <c r="M605" t="n">
        <v>0</v>
      </c>
      <c r="N605" t="n">
        <v>0</v>
      </c>
      <c r="O605" t="n">
        <v>0</v>
      </c>
      <c r="P605" t="n">
        <v>0</v>
      </c>
      <c r="Q605" t="n">
        <v>0</v>
      </c>
      <c r="R605" t="n">
        <v>0</v>
      </c>
      <c r="S605" t="n">
        <v>0</v>
      </c>
      <c r="T605" t="n">
        <v>0</v>
      </c>
      <c r="U605" s="2" t="inlineStr"/>
    </row>
    <row r="606" ht="15" customHeight="1">
      <c r="A606" t="inlineStr">
        <is>
          <t>A 1415-2026</t>
        </is>
      </c>
      <c r="B606" t="inlineStr">
        <is>
          <t>avverkningsanmälan</t>
        </is>
      </c>
      <c r="C606" t="inlineStr">
        <is>
          <t>Föryngringsavverkning</t>
        </is>
      </c>
      <c r="D606" s="1" t="n">
        <v>46031</v>
      </c>
      <c r="E606" s="1" t="n">
        <v>46218</v>
      </c>
      <c r="F606" t="inlineStr">
        <is>
          <t>KRONOBERGS LÄN</t>
        </is>
      </c>
      <c r="G606" t="inlineStr">
        <is>
          <t>UPPVIDINGE</t>
        </is>
      </c>
      <c r="H606" t="inlineStr">
        <is>
          <t>Sveaskog</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1604-2026</t>
        </is>
      </c>
      <c r="B607" t="inlineStr">
        <is>
          <t>avverkningsanmälan</t>
        </is>
      </c>
      <c r="C607" t="inlineStr">
        <is>
          <t>Föryngringsavverkning</t>
        </is>
      </c>
      <c r="D607" s="1" t="n">
        <v>46034</v>
      </c>
      <c r="E607" s="1" t="n">
        <v>46218</v>
      </c>
      <c r="F607" t="inlineStr">
        <is>
          <t>KRONOBERGS LÄN</t>
        </is>
      </c>
      <c r="G607" t="inlineStr">
        <is>
          <t>UPPVIDINGE</t>
        </is>
      </c>
      <c r="I607" t="n">
        <v>3.9</v>
      </c>
      <c r="J607" t="n">
        <v>0</v>
      </c>
      <c r="K607" t="n">
        <v>0</v>
      </c>
      <c r="L607" t="n">
        <v>0</v>
      </c>
      <c r="M607" t="n">
        <v>0</v>
      </c>
      <c r="N607" t="n">
        <v>0</v>
      </c>
      <c r="O607" t="n">
        <v>0</v>
      </c>
      <c r="P607" t="n">
        <v>0</v>
      </c>
      <c r="Q607" t="n">
        <v>0</v>
      </c>
      <c r="R607" t="n">
        <v>0</v>
      </c>
      <c r="S607" t="n">
        <v>0</v>
      </c>
      <c r="T607" t="n">
        <v>0</v>
      </c>
      <c r="U607" s="2" t="inlineStr"/>
    </row>
    <row r="608" ht="15" customHeight="1">
      <c r="A608" t="inlineStr">
        <is>
          <t>A 1483-2026</t>
        </is>
      </c>
      <c r="B608" t="inlineStr">
        <is>
          <t>avverkningsanmälan</t>
        </is>
      </c>
      <c r="C608" t="inlineStr">
        <is>
          <t>Föryngringsavverkning</t>
        </is>
      </c>
      <c r="D608" s="1" t="n">
        <v>46033</v>
      </c>
      <c r="E608" s="1" t="n">
        <v>46218</v>
      </c>
      <c r="F608" t="inlineStr">
        <is>
          <t>KRONOBERGS LÄN</t>
        </is>
      </c>
      <c r="G608" t="inlineStr">
        <is>
          <t>UPPVIDINGE</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4823-2022</t>
        </is>
      </c>
      <c r="B609" t="inlineStr">
        <is>
          <t>avverkningsanmälan</t>
        </is>
      </c>
      <c r="C609" t="inlineStr">
        <is>
          <t>Föryngringsavverkning</t>
        </is>
      </c>
      <c r="D609" s="1" t="n">
        <v>44592</v>
      </c>
      <c r="E609" s="1" t="n">
        <v>46218</v>
      </c>
      <c r="F609" t="inlineStr">
        <is>
          <t>KRONOBERGS LÄN</t>
        </is>
      </c>
      <c r="G609" t="inlineStr">
        <is>
          <t>UPPVIDINGE</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38547-2024</t>
        </is>
      </c>
      <c r="B610" t="inlineStr">
        <is>
          <t>avverkningsanmälan</t>
        </is>
      </c>
      <c r="C610" t="inlineStr">
        <is>
          <t>Föryngringsavverkning</t>
        </is>
      </c>
      <c r="D610" s="1" t="n">
        <v>45546</v>
      </c>
      <c r="E610" s="1" t="n">
        <v>46218</v>
      </c>
      <c r="F610" t="inlineStr">
        <is>
          <t>KRONOBERGS LÄN</t>
        </is>
      </c>
      <c r="G610" t="inlineStr">
        <is>
          <t>UPPVIDINGE</t>
        </is>
      </c>
      <c r="I610" t="n">
        <v>3.8</v>
      </c>
      <c r="J610" t="n">
        <v>0</v>
      </c>
      <c r="K610" t="n">
        <v>0</v>
      </c>
      <c r="L610" t="n">
        <v>0</v>
      </c>
      <c r="M610" t="n">
        <v>0</v>
      </c>
      <c r="N610" t="n">
        <v>0</v>
      </c>
      <c r="O610" t="n">
        <v>0</v>
      </c>
      <c r="P610" t="n">
        <v>0</v>
      </c>
      <c r="Q610" t="n">
        <v>0</v>
      </c>
      <c r="R610" t="n">
        <v>0</v>
      </c>
      <c r="S610" t="n">
        <v>0</v>
      </c>
      <c r="T610" t="n">
        <v>0</v>
      </c>
      <c r="U610" s="2" t="inlineStr"/>
    </row>
    <row r="611" ht="15" customHeight="1">
      <c r="A611" t="inlineStr">
        <is>
          <t>A 24457-2023</t>
        </is>
      </c>
      <c r="B611" t="inlineStr">
        <is>
          <t>avverkningsanmälan</t>
        </is>
      </c>
      <c r="C611" t="inlineStr">
        <is>
          <t>Föryngringsavverkning</t>
        </is>
      </c>
      <c r="D611" s="1" t="n">
        <v>45082</v>
      </c>
      <c r="E611" s="1" t="n">
        <v>46218</v>
      </c>
      <c r="F611" t="inlineStr">
        <is>
          <t>KRONOBERGS LÄN</t>
        </is>
      </c>
      <c r="G611" t="inlineStr">
        <is>
          <t>UPPVIDINGE</t>
        </is>
      </c>
      <c r="I611" t="n">
        <v>0.4</v>
      </c>
      <c r="J611" t="n">
        <v>0</v>
      </c>
      <c r="K611" t="n">
        <v>0</v>
      </c>
      <c r="L611" t="n">
        <v>0</v>
      </c>
      <c r="M611" t="n">
        <v>0</v>
      </c>
      <c r="N611" t="n">
        <v>0</v>
      </c>
      <c r="O611" t="n">
        <v>0</v>
      </c>
      <c r="P611" t="n">
        <v>0</v>
      </c>
      <c r="Q611" t="n">
        <v>0</v>
      </c>
      <c r="R611" t="n">
        <v>0</v>
      </c>
      <c r="S611" t="n">
        <v>0</v>
      </c>
      <c r="T611" t="n">
        <v>0</v>
      </c>
      <c r="U611" s="2" t="inlineStr"/>
    </row>
    <row r="612" ht="15" customHeight="1">
      <c r="A612" t="inlineStr">
        <is>
          <t>A 51513-2024</t>
        </is>
      </c>
      <c r="B612" t="inlineStr">
        <is>
          <t>avverkningsanmälan</t>
        </is>
      </c>
      <c r="C612" t="inlineStr">
        <is>
          <t>Föryngringsavverkning</t>
        </is>
      </c>
      <c r="D612" s="1" t="n">
        <v>45604</v>
      </c>
      <c r="E612" s="1" t="n">
        <v>46218</v>
      </c>
      <c r="F612" t="inlineStr">
        <is>
          <t>KRONOBERGS LÄN</t>
        </is>
      </c>
      <c r="G612" t="inlineStr">
        <is>
          <t>UPPVIDINGE</t>
        </is>
      </c>
      <c r="H612" t="inlineStr">
        <is>
          <t>Sveaskog</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51515-2024</t>
        </is>
      </c>
      <c r="B613" t="inlineStr">
        <is>
          <t>avverkningsanmälan</t>
        </is>
      </c>
      <c r="C613" t="inlineStr">
        <is>
          <t>Föryngringsavverkning</t>
        </is>
      </c>
      <c r="D613" s="1" t="n">
        <v>45604</v>
      </c>
      <c r="E613" s="1" t="n">
        <v>46218</v>
      </c>
      <c r="F613" t="inlineStr">
        <is>
          <t>KRONOBERGS LÄN</t>
        </is>
      </c>
      <c r="G613" t="inlineStr">
        <is>
          <t>UPPVIDINGE</t>
        </is>
      </c>
      <c r="H613" t="inlineStr">
        <is>
          <t>Sveaskog</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51516-2024</t>
        </is>
      </c>
      <c r="B614" t="inlineStr">
        <is>
          <t>avverkningsanmälan</t>
        </is>
      </c>
      <c r="C614" t="inlineStr">
        <is>
          <t>Föryngringsavverkning</t>
        </is>
      </c>
      <c r="D614" s="1" t="n">
        <v>45604</v>
      </c>
      <c r="E614" s="1" t="n">
        <v>46218</v>
      </c>
      <c r="F614" t="inlineStr">
        <is>
          <t>KRONOBERGS LÄN</t>
        </is>
      </c>
      <c r="G614" t="inlineStr">
        <is>
          <t>UPPVIDINGE</t>
        </is>
      </c>
      <c r="H614" t="inlineStr">
        <is>
          <t>Sveaskog</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43988-2022</t>
        </is>
      </c>
      <c r="B615" t="inlineStr">
        <is>
          <t>avverkningsanmälan</t>
        </is>
      </c>
      <c r="C615" t="inlineStr">
        <is>
          <t>Föryngringsavverkning</t>
        </is>
      </c>
      <c r="D615" s="1" t="n">
        <v>44838</v>
      </c>
      <c r="E615" s="1" t="n">
        <v>46218</v>
      </c>
      <c r="F615" t="inlineStr">
        <is>
          <t>KRONOBERGS LÄN</t>
        </is>
      </c>
      <c r="G615" t="inlineStr">
        <is>
          <t>UPPVIDINGE</t>
        </is>
      </c>
      <c r="I615" t="n">
        <v>12.2</v>
      </c>
      <c r="J615" t="n">
        <v>0</v>
      </c>
      <c r="K615" t="n">
        <v>0</v>
      </c>
      <c r="L615" t="n">
        <v>0</v>
      </c>
      <c r="M615" t="n">
        <v>0</v>
      </c>
      <c r="N615" t="n">
        <v>0</v>
      </c>
      <c r="O615" t="n">
        <v>0</v>
      </c>
      <c r="P615" t="n">
        <v>0</v>
      </c>
      <c r="Q615" t="n">
        <v>0</v>
      </c>
      <c r="R615" t="n">
        <v>0</v>
      </c>
      <c r="S615" t="n">
        <v>0</v>
      </c>
      <c r="T615" t="n">
        <v>0</v>
      </c>
      <c r="U615" s="2" t="inlineStr"/>
    </row>
    <row r="616" ht="15" customHeight="1">
      <c r="A616" t="inlineStr">
        <is>
          <t>A 48024-2023</t>
        </is>
      </c>
      <c r="B616" t="inlineStr">
        <is>
          <t>avverkningsanmälan</t>
        </is>
      </c>
      <c r="C616" t="inlineStr">
        <is>
          <t>Föryngringsavverkning</t>
        </is>
      </c>
      <c r="D616" s="1" t="n">
        <v>45204</v>
      </c>
      <c r="E616" s="1" t="n">
        <v>46218</v>
      </c>
      <c r="F616" t="inlineStr">
        <is>
          <t>KRONOBERGS LÄN</t>
        </is>
      </c>
      <c r="G616" t="inlineStr">
        <is>
          <t>UPPVIDINGE</t>
        </is>
      </c>
      <c r="I616" t="n">
        <v>3.7</v>
      </c>
      <c r="J616" t="n">
        <v>0</v>
      </c>
      <c r="K616" t="n">
        <v>0</v>
      </c>
      <c r="L616" t="n">
        <v>0</v>
      </c>
      <c r="M616" t="n">
        <v>0</v>
      </c>
      <c r="N616" t="n">
        <v>0</v>
      </c>
      <c r="O616" t="n">
        <v>0</v>
      </c>
      <c r="P616" t="n">
        <v>0</v>
      </c>
      <c r="Q616" t="n">
        <v>0</v>
      </c>
      <c r="R616" t="n">
        <v>0</v>
      </c>
      <c r="S616" t="n">
        <v>0</v>
      </c>
      <c r="T616" t="n">
        <v>0</v>
      </c>
      <c r="U616" s="2" t="inlineStr"/>
    </row>
    <row r="617" ht="15" customHeight="1">
      <c r="A617" t="inlineStr">
        <is>
          <t>A 5274-2025</t>
        </is>
      </c>
      <c r="B617" t="inlineStr">
        <is>
          <t>avverkningsanmälan</t>
        </is>
      </c>
      <c r="C617" t="inlineStr">
        <is>
          <t>Föryngringsavverkning</t>
        </is>
      </c>
      <c r="D617" s="1" t="n">
        <v>45692</v>
      </c>
      <c r="E617" s="1" t="n">
        <v>46218</v>
      </c>
      <c r="F617" t="inlineStr">
        <is>
          <t>KRONOBERGS LÄN</t>
        </is>
      </c>
      <c r="G617" t="inlineStr">
        <is>
          <t>UPPVIDINGE</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43378-2024</t>
        </is>
      </c>
      <c r="B618" t="inlineStr">
        <is>
          <t>avverkningsanmälan</t>
        </is>
      </c>
      <c r="C618" t="inlineStr">
        <is>
          <t>Föryngringsavverkning</t>
        </is>
      </c>
      <c r="D618" s="1" t="n">
        <v>45568</v>
      </c>
      <c r="E618" s="1" t="n">
        <v>46218</v>
      </c>
      <c r="F618" t="inlineStr">
        <is>
          <t>KRONOBERGS LÄN</t>
        </is>
      </c>
      <c r="G618" t="inlineStr">
        <is>
          <t>UPPVIDINGE</t>
        </is>
      </c>
      <c r="H618" t="inlineStr">
        <is>
          <t>Kyrkan</t>
        </is>
      </c>
      <c r="I618" t="n">
        <v>5.5</v>
      </c>
      <c r="J618" t="n">
        <v>0</v>
      </c>
      <c r="K618" t="n">
        <v>0</v>
      </c>
      <c r="L618" t="n">
        <v>0</v>
      </c>
      <c r="M618" t="n">
        <v>0</v>
      </c>
      <c r="N618" t="n">
        <v>0</v>
      </c>
      <c r="O618" t="n">
        <v>0</v>
      </c>
      <c r="P618" t="n">
        <v>0</v>
      </c>
      <c r="Q618" t="n">
        <v>0</v>
      </c>
      <c r="R618" t="n">
        <v>0</v>
      </c>
      <c r="S618" t="n">
        <v>0</v>
      </c>
      <c r="T618" t="n">
        <v>0</v>
      </c>
      <c r="U618" s="2" t="inlineStr"/>
    </row>
    <row r="619" ht="15" customHeight="1">
      <c r="A619" t="inlineStr">
        <is>
          <t>A 3075-2026</t>
        </is>
      </c>
      <c r="B619" t="inlineStr">
        <is>
          <t>avverkningsanmälan</t>
        </is>
      </c>
      <c r="C619" t="inlineStr">
        <is>
          <t>Föryngringsavverkning</t>
        </is>
      </c>
      <c r="D619" s="1" t="n">
        <v>46040</v>
      </c>
      <c r="E619" s="1" t="n">
        <v>46218</v>
      </c>
      <c r="F619" t="inlineStr">
        <is>
          <t>KRONOBERGS LÄN</t>
        </is>
      </c>
      <c r="G619" t="inlineStr">
        <is>
          <t>UPPVIDINGE</t>
        </is>
      </c>
      <c r="I619" t="n">
        <v>2.6</v>
      </c>
      <c r="J619" t="n">
        <v>0</v>
      </c>
      <c r="K619" t="n">
        <v>0</v>
      </c>
      <c r="L619" t="n">
        <v>0</v>
      </c>
      <c r="M619" t="n">
        <v>0</v>
      </c>
      <c r="N619" t="n">
        <v>0</v>
      </c>
      <c r="O619" t="n">
        <v>0</v>
      </c>
      <c r="P619" t="n">
        <v>0</v>
      </c>
      <c r="Q619" t="n">
        <v>0</v>
      </c>
      <c r="R619" t="n">
        <v>0</v>
      </c>
      <c r="S619" t="n">
        <v>0</v>
      </c>
      <c r="T619" t="n">
        <v>0</v>
      </c>
      <c r="U619" s="2" t="inlineStr"/>
    </row>
    <row r="620" ht="15" customHeight="1">
      <c r="A620" t="inlineStr">
        <is>
          <t>A 26196-2023</t>
        </is>
      </c>
      <c r="B620" t="inlineStr">
        <is>
          <t>avverkningsanmälan</t>
        </is>
      </c>
      <c r="C620" t="inlineStr">
        <is>
          <t>Föryngringsavverkning</t>
        </is>
      </c>
      <c r="D620" s="1" t="n">
        <v>45091</v>
      </c>
      <c r="E620" s="1" t="n">
        <v>46218</v>
      </c>
      <c r="F620" t="inlineStr">
        <is>
          <t>KRONOBERGS LÄN</t>
        </is>
      </c>
      <c r="G620" t="inlineStr">
        <is>
          <t>UPPVIDINGE</t>
        </is>
      </c>
      <c r="H620" t="inlineStr">
        <is>
          <t>Sveaskog</t>
        </is>
      </c>
      <c r="I620" t="n">
        <v>8.800000000000001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31767-2023</t>
        </is>
      </c>
      <c r="B621" t="inlineStr">
        <is>
          <t>avverkningsanmälan</t>
        </is>
      </c>
      <c r="C621" t="inlineStr">
        <is>
          <t>Föryngringsavverkning</t>
        </is>
      </c>
      <c r="D621" s="1" t="n">
        <v>45118</v>
      </c>
      <c r="E621" s="1" t="n">
        <v>46218</v>
      </c>
      <c r="F621" t="inlineStr">
        <is>
          <t>KRONOBERGS LÄN</t>
        </is>
      </c>
      <c r="G621" t="inlineStr">
        <is>
          <t>UPPVIDINGE</t>
        </is>
      </c>
      <c r="I621" t="n">
        <v>2.7</v>
      </c>
      <c r="J621" t="n">
        <v>0</v>
      </c>
      <c r="K621" t="n">
        <v>0</v>
      </c>
      <c r="L621" t="n">
        <v>0</v>
      </c>
      <c r="M621" t="n">
        <v>0</v>
      </c>
      <c r="N621" t="n">
        <v>0</v>
      </c>
      <c r="O621" t="n">
        <v>0</v>
      </c>
      <c r="P621" t="n">
        <v>0</v>
      </c>
      <c r="Q621" t="n">
        <v>0</v>
      </c>
      <c r="R621" t="n">
        <v>0</v>
      </c>
      <c r="S621" t="n">
        <v>0</v>
      </c>
      <c r="T621" t="n">
        <v>0</v>
      </c>
      <c r="U621" s="2" t="inlineStr"/>
    </row>
    <row r="622" ht="15" customHeight="1">
      <c r="A622" t="inlineStr">
        <is>
          <t>A 13409-2023</t>
        </is>
      </c>
      <c r="B622" t="inlineStr">
        <is>
          <t>avverkningsanmälan</t>
        </is>
      </c>
      <c r="C622" t="inlineStr">
        <is>
          <t>Föryngringsavverkning</t>
        </is>
      </c>
      <c r="D622" s="1" t="n">
        <v>45005</v>
      </c>
      <c r="E622" s="1" t="n">
        <v>46218</v>
      </c>
      <c r="F622" t="inlineStr">
        <is>
          <t>KRONOBERGS LÄN</t>
        </is>
      </c>
      <c r="G622" t="inlineStr">
        <is>
          <t>UPPVIDINGE</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7402-2025</t>
        </is>
      </c>
      <c r="B623" t="inlineStr">
        <is>
          <t>avverkningsanmälan</t>
        </is>
      </c>
      <c r="C623" t="inlineStr">
        <is>
          <t>Föryngringsavverkning</t>
        </is>
      </c>
      <c r="D623" s="1" t="n">
        <v>45705</v>
      </c>
      <c r="E623" s="1" t="n">
        <v>46218</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22683-2026</t>
        </is>
      </c>
      <c r="B624" t="inlineStr">
        <is>
          <t>avverkningsanmälan</t>
        </is>
      </c>
      <c r="C624" t="inlineStr">
        <is>
          <t>Föryngringsavverkning</t>
        </is>
      </c>
      <c r="D624" s="1" t="n">
        <v>46156</v>
      </c>
      <c r="E624" s="1" t="n">
        <v>46218</v>
      </c>
      <c r="F624" t="inlineStr">
        <is>
          <t>KRONOBERGS LÄN</t>
        </is>
      </c>
      <c r="G624" t="inlineStr">
        <is>
          <t>UPPVIDINGE</t>
        </is>
      </c>
      <c r="H624" t="inlineStr">
        <is>
          <t>Sveaskog</t>
        </is>
      </c>
      <c r="I624" t="n">
        <v>4</v>
      </c>
      <c r="J624" t="n">
        <v>0</v>
      </c>
      <c r="K624" t="n">
        <v>0</v>
      </c>
      <c r="L624" t="n">
        <v>0</v>
      </c>
      <c r="M624" t="n">
        <v>0</v>
      </c>
      <c r="N624" t="n">
        <v>0</v>
      </c>
      <c r="O624" t="n">
        <v>0</v>
      </c>
      <c r="P624" t="n">
        <v>0</v>
      </c>
      <c r="Q624" t="n">
        <v>0</v>
      </c>
      <c r="R624" t="n">
        <v>0</v>
      </c>
      <c r="S624" t="n">
        <v>0</v>
      </c>
      <c r="T624" t="n">
        <v>0</v>
      </c>
      <c r="U624" s="2" t="inlineStr"/>
    </row>
    <row r="625" ht="15" customHeight="1">
      <c r="A625" t="inlineStr">
        <is>
          <t>A 3333-2026</t>
        </is>
      </c>
      <c r="B625" t="inlineStr">
        <is>
          <t>avverkningsanmälan</t>
        </is>
      </c>
      <c r="C625" t="inlineStr">
        <is>
          <t>Föryngringsavverkning</t>
        </is>
      </c>
      <c r="D625" s="1" t="n">
        <v>46041</v>
      </c>
      <c r="E625" s="1" t="n">
        <v>46218</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11644-2023</t>
        </is>
      </c>
      <c r="B626" t="inlineStr">
        <is>
          <t>avverkningsanmälan</t>
        </is>
      </c>
      <c r="C626" t="inlineStr">
        <is>
          <t>Föryngringsavverkning</t>
        </is>
      </c>
      <c r="D626" s="1" t="n">
        <v>44994</v>
      </c>
      <c r="E626" s="1" t="n">
        <v>46218</v>
      </c>
      <c r="F626" t="inlineStr">
        <is>
          <t>KRONOBERGS LÄN</t>
        </is>
      </c>
      <c r="G626" t="inlineStr">
        <is>
          <t>UPPVIDINGE</t>
        </is>
      </c>
      <c r="I626" t="n">
        <v>2.6</v>
      </c>
      <c r="J626" t="n">
        <v>0</v>
      </c>
      <c r="K626" t="n">
        <v>0</v>
      </c>
      <c r="L626" t="n">
        <v>0</v>
      </c>
      <c r="M626" t="n">
        <v>0</v>
      </c>
      <c r="N626" t="n">
        <v>0</v>
      </c>
      <c r="O626" t="n">
        <v>0</v>
      </c>
      <c r="P626" t="n">
        <v>0</v>
      </c>
      <c r="Q626" t="n">
        <v>0</v>
      </c>
      <c r="R626" t="n">
        <v>0</v>
      </c>
      <c r="S626" t="n">
        <v>0</v>
      </c>
      <c r="T626" t="n">
        <v>0</v>
      </c>
      <c r="U626" s="2" t="inlineStr"/>
    </row>
    <row r="627" ht="15" customHeight="1">
      <c r="A627" t="inlineStr">
        <is>
          <t>A 37251-2021</t>
        </is>
      </c>
      <c r="B627" t="inlineStr">
        <is>
          <t>avverkningsanmälan</t>
        </is>
      </c>
      <c r="C627" t="inlineStr">
        <is>
          <t>Föryngringsavverkning</t>
        </is>
      </c>
      <c r="D627" s="1" t="n">
        <v>44396</v>
      </c>
      <c r="E627" s="1" t="n">
        <v>46218</v>
      </c>
      <c r="F627" t="inlineStr">
        <is>
          <t>KRONOBERGS LÄN</t>
        </is>
      </c>
      <c r="G627" t="inlineStr">
        <is>
          <t>UPPVIDINGE</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28953-2026</t>
        </is>
      </c>
      <c r="B628" t="inlineStr">
        <is>
          <t>avverkningsanmälan</t>
        </is>
      </c>
      <c r="C628" t="inlineStr">
        <is>
          <t>Föryngringsavverkning</t>
        </is>
      </c>
      <c r="D628" s="1" t="n">
        <v>46199</v>
      </c>
      <c r="E628" s="1" t="n">
        <v>46218</v>
      </c>
      <c r="F628" t="inlineStr">
        <is>
          <t>KRONOBERGS LÄN</t>
        </is>
      </c>
      <c r="G628" t="inlineStr">
        <is>
          <t>UPPVIDINGE</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28981-2026</t>
        </is>
      </c>
      <c r="B629" t="inlineStr">
        <is>
          <t>avverkningsanmälan</t>
        </is>
      </c>
      <c r="C629" t="inlineStr">
        <is>
          <t>Föryngringsavverkning</t>
        </is>
      </c>
      <c r="D629" s="1" t="n">
        <v>46196</v>
      </c>
      <c r="E629" s="1" t="n">
        <v>46218</v>
      </c>
      <c r="F629" t="inlineStr">
        <is>
          <t>KRONOBERGS LÄN</t>
        </is>
      </c>
      <c r="G629" t="inlineStr">
        <is>
          <t>UPPVIDINGE</t>
        </is>
      </c>
      <c r="H629" t="inlineStr">
        <is>
          <t>Kyrkan</t>
        </is>
      </c>
      <c r="I629" t="n">
        <v>7.1</v>
      </c>
      <c r="J629" t="n">
        <v>0</v>
      </c>
      <c r="K629" t="n">
        <v>0</v>
      </c>
      <c r="L629" t="n">
        <v>0</v>
      </c>
      <c r="M629" t="n">
        <v>0</v>
      </c>
      <c r="N629" t="n">
        <v>0</v>
      </c>
      <c r="O629" t="n">
        <v>0</v>
      </c>
      <c r="P629" t="n">
        <v>0</v>
      </c>
      <c r="Q629" t="n">
        <v>0</v>
      </c>
      <c r="R629" t="n">
        <v>0</v>
      </c>
      <c r="S629" t="n">
        <v>0</v>
      </c>
      <c r="T629" t="n">
        <v>0</v>
      </c>
      <c r="U629" s="2" t="inlineStr"/>
    </row>
    <row r="630" ht="15" customHeight="1">
      <c r="A630" t="inlineStr">
        <is>
          <t>A 22682-2026</t>
        </is>
      </c>
      <c r="B630" t="inlineStr">
        <is>
          <t>avverkningsanmälan</t>
        </is>
      </c>
      <c r="C630" t="inlineStr">
        <is>
          <t>Föryngringsavverkning</t>
        </is>
      </c>
      <c r="D630" s="1" t="n">
        <v>46156</v>
      </c>
      <c r="E630" s="1" t="n">
        <v>46218</v>
      </c>
      <c r="F630" t="inlineStr">
        <is>
          <t>KRONOBERGS LÄN</t>
        </is>
      </c>
      <c r="G630" t="inlineStr">
        <is>
          <t>UPPVIDINGE</t>
        </is>
      </c>
      <c r="H630" t="inlineStr">
        <is>
          <t>Sveaskog</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22686-2026</t>
        </is>
      </c>
      <c r="B631" t="inlineStr">
        <is>
          <t>avverkningsanmälan</t>
        </is>
      </c>
      <c r="C631" t="inlineStr">
        <is>
          <t>Föryngringsavverkning</t>
        </is>
      </c>
      <c r="D631" s="1" t="n">
        <v>46156</v>
      </c>
      <c r="E631" s="1" t="n">
        <v>46218</v>
      </c>
      <c r="F631" t="inlineStr">
        <is>
          <t>KRONOBERGS LÄN</t>
        </is>
      </c>
      <c r="G631" t="inlineStr">
        <is>
          <t>UPPVIDINGE</t>
        </is>
      </c>
      <c r="H631" t="inlineStr">
        <is>
          <t>Sveaskog</t>
        </is>
      </c>
      <c r="I631" t="n">
        <v>2.8</v>
      </c>
      <c r="J631" t="n">
        <v>0</v>
      </c>
      <c r="K631" t="n">
        <v>0</v>
      </c>
      <c r="L631" t="n">
        <v>0</v>
      </c>
      <c r="M631" t="n">
        <v>0</v>
      </c>
      <c r="N631" t="n">
        <v>0</v>
      </c>
      <c r="O631" t="n">
        <v>0</v>
      </c>
      <c r="P631" t="n">
        <v>0</v>
      </c>
      <c r="Q631" t="n">
        <v>0</v>
      </c>
      <c r="R631" t="n">
        <v>0</v>
      </c>
      <c r="S631" t="n">
        <v>0</v>
      </c>
      <c r="T631" t="n">
        <v>0</v>
      </c>
      <c r="U631" s="2" t="inlineStr"/>
    </row>
    <row r="632" ht="15" customHeight="1">
      <c r="A632" t="inlineStr">
        <is>
          <t>A 22684-2026</t>
        </is>
      </c>
      <c r="B632" t="inlineStr">
        <is>
          <t>avverkningsanmälan</t>
        </is>
      </c>
      <c r="C632" t="inlineStr">
        <is>
          <t>Föryngringsavverkning</t>
        </is>
      </c>
      <c r="D632" s="1" t="n">
        <v>46156</v>
      </c>
      <c r="E632" s="1" t="n">
        <v>46218</v>
      </c>
      <c r="F632" t="inlineStr">
        <is>
          <t>KRONOBERGS LÄN</t>
        </is>
      </c>
      <c r="G632" t="inlineStr">
        <is>
          <t>UPPVIDINGE</t>
        </is>
      </c>
      <c r="H632" t="inlineStr">
        <is>
          <t>Sveaskog</t>
        </is>
      </c>
      <c r="I632" t="n">
        <v>3.6</v>
      </c>
      <c r="J632" t="n">
        <v>0</v>
      </c>
      <c r="K632" t="n">
        <v>0</v>
      </c>
      <c r="L632" t="n">
        <v>0</v>
      </c>
      <c r="M632" t="n">
        <v>0</v>
      </c>
      <c r="N632" t="n">
        <v>0</v>
      </c>
      <c r="O632" t="n">
        <v>0</v>
      </c>
      <c r="P632" t="n">
        <v>0</v>
      </c>
      <c r="Q632" t="n">
        <v>0</v>
      </c>
      <c r="R632" t="n">
        <v>0</v>
      </c>
      <c r="S632" t="n">
        <v>0</v>
      </c>
      <c r="T632" t="n">
        <v>0</v>
      </c>
      <c r="U632" s="2" t="inlineStr"/>
    </row>
    <row r="633" ht="15" customHeight="1">
      <c r="A633" t="inlineStr">
        <is>
          <t>A 11029-2024</t>
        </is>
      </c>
      <c r="B633" t="inlineStr">
        <is>
          <t>avverkningsanmälan</t>
        </is>
      </c>
      <c r="C633" t="inlineStr">
        <is>
          <t>Föryngringsavverkning</t>
        </is>
      </c>
      <c r="D633" s="1" t="n">
        <v>45370</v>
      </c>
      <c r="E633" s="1" t="n">
        <v>46218</v>
      </c>
      <c r="F633" t="inlineStr">
        <is>
          <t>KRONOBERGS LÄN</t>
        </is>
      </c>
      <c r="G633" t="inlineStr">
        <is>
          <t>UPPVIDINGE</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22687-2026</t>
        </is>
      </c>
      <c r="B634" t="inlineStr">
        <is>
          <t>avverkningsanmälan</t>
        </is>
      </c>
      <c r="C634" t="inlineStr">
        <is>
          <t>Föryngringsavverkning</t>
        </is>
      </c>
      <c r="D634" s="1" t="n">
        <v>46156</v>
      </c>
      <c r="E634" s="1" t="n">
        <v>46218</v>
      </c>
      <c r="F634" t="inlineStr">
        <is>
          <t>KRONOBERGS LÄN</t>
        </is>
      </c>
      <c r="G634" t="inlineStr">
        <is>
          <t>UPPVIDINGE</t>
        </is>
      </c>
      <c r="H634" t="inlineStr">
        <is>
          <t>Sveaskog</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20131-2024</t>
        </is>
      </c>
      <c r="B635" t="inlineStr">
        <is>
          <t>avverkningsanmälan</t>
        </is>
      </c>
      <c r="C635" t="inlineStr">
        <is>
          <t>Föryngringsavverkning</t>
        </is>
      </c>
      <c r="D635" s="1" t="n">
        <v>45434</v>
      </c>
      <c r="E635" s="1" t="n">
        <v>46218</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29532-2026</t>
        </is>
      </c>
      <c r="B636" t="inlineStr">
        <is>
          <t>avverkningsanmälan</t>
        </is>
      </c>
      <c r="C636" t="inlineStr">
        <is>
          <t>Föryngringsavverkning</t>
        </is>
      </c>
      <c r="D636" s="1" t="n">
        <v>46203</v>
      </c>
      <c r="E636" s="1" t="n">
        <v>46218</v>
      </c>
      <c r="F636" t="inlineStr">
        <is>
          <t>KRONOBERGS LÄN</t>
        </is>
      </c>
      <c r="G636" t="inlineStr">
        <is>
          <t>UPPVIDINGE</t>
        </is>
      </c>
      <c r="H636" t="inlineStr">
        <is>
          <t>Sveaskog</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29533-2026</t>
        </is>
      </c>
      <c r="B637" t="inlineStr">
        <is>
          <t>avverkningsanmälan</t>
        </is>
      </c>
      <c r="C637" t="inlineStr">
        <is>
          <t>Föryngringsavverkning</t>
        </is>
      </c>
      <c r="D637" s="1" t="n">
        <v>46203</v>
      </c>
      <c r="E637" s="1" t="n">
        <v>46218</v>
      </c>
      <c r="F637" t="inlineStr">
        <is>
          <t>KRONOBERGS LÄN</t>
        </is>
      </c>
      <c r="G637" t="inlineStr">
        <is>
          <t>UPPVIDINGE</t>
        </is>
      </c>
      <c r="H637" t="inlineStr">
        <is>
          <t>Sveaskog</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29543-2026</t>
        </is>
      </c>
      <c r="B638" t="inlineStr">
        <is>
          <t>avverkningsanmälan</t>
        </is>
      </c>
      <c r="C638" t="inlineStr">
        <is>
          <t>Föryngringsavverkning</t>
        </is>
      </c>
      <c r="D638" s="1" t="n">
        <v>46203</v>
      </c>
      <c r="E638" s="1" t="n">
        <v>46218</v>
      </c>
      <c r="F638" t="inlineStr">
        <is>
          <t>KRONOBERGS LÄN</t>
        </is>
      </c>
      <c r="G638" t="inlineStr">
        <is>
          <t>UPPVIDINGE</t>
        </is>
      </c>
      <c r="H638" t="inlineStr">
        <is>
          <t>Sveaskog</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29547-2026</t>
        </is>
      </c>
      <c r="B639" t="inlineStr">
        <is>
          <t>avverkningsanmälan</t>
        </is>
      </c>
      <c r="C639" t="inlineStr">
        <is>
          <t>Föryngringsavverkning</t>
        </is>
      </c>
      <c r="D639" s="1" t="n">
        <v>46203</v>
      </c>
      <c r="E639" s="1" t="n">
        <v>46218</v>
      </c>
      <c r="F639" t="inlineStr">
        <is>
          <t>KRONOBERGS LÄN</t>
        </is>
      </c>
      <c r="G639" t="inlineStr">
        <is>
          <t>UPPVIDINGE</t>
        </is>
      </c>
      <c r="H639" t="inlineStr">
        <is>
          <t>Sveaskog</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29531-2026</t>
        </is>
      </c>
      <c r="B640" t="inlineStr">
        <is>
          <t>avverkningsanmälan</t>
        </is>
      </c>
      <c r="C640" t="inlineStr">
        <is>
          <t>Föryngringsavverkning</t>
        </is>
      </c>
      <c r="D640" s="1" t="n">
        <v>46203</v>
      </c>
      <c r="E640" s="1" t="n">
        <v>46218</v>
      </c>
      <c r="F640" t="inlineStr">
        <is>
          <t>KRONOBERGS LÄN</t>
        </is>
      </c>
      <c r="G640" t="inlineStr">
        <is>
          <t>UPPVIDINGE</t>
        </is>
      </c>
      <c r="H640" t="inlineStr">
        <is>
          <t>Sveaskog</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29537-2026</t>
        </is>
      </c>
      <c r="B641" t="inlineStr">
        <is>
          <t>avverkningsanmälan</t>
        </is>
      </c>
      <c r="C641" t="inlineStr">
        <is>
          <t>Föryngringsavverkning</t>
        </is>
      </c>
      <c r="D641" s="1" t="n">
        <v>46203</v>
      </c>
      <c r="E641" s="1" t="n">
        <v>46218</v>
      </c>
      <c r="F641" t="inlineStr">
        <is>
          <t>KRONOBERGS LÄN</t>
        </is>
      </c>
      <c r="G641" t="inlineStr">
        <is>
          <t>UPPVIDINGE</t>
        </is>
      </c>
      <c r="H641" t="inlineStr">
        <is>
          <t>Sveaskog</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29539-2026</t>
        </is>
      </c>
      <c r="B642" t="inlineStr">
        <is>
          <t>avverkningsanmälan</t>
        </is>
      </c>
      <c r="C642" t="inlineStr">
        <is>
          <t>Föryngringsavverkning</t>
        </is>
      </c>
      <c r="D642" s="1" t="n">
        <v>46203</v>
      </c>
      <c r="E642" s="1" t="n">
        <v>46218</v>
      </c>
      <c r="F642" t="inlineStr">
        <is>
          <t>KRONOBERGS LÄN</t>
        </is>
      </c>
      <c r="G642" t="inlineStr">
        <is>
          <t>UPPVIDINGE</t>
        </is>
      </c>
      <c r="H642" t="inlineStr">
        <is>
          <t>Sveaskog</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29541-2026</t>
        </is>
      </c>
      <c r="B643" t="inlineStr">
        <is>
          <t>avverkningsanmälan</t>
        </is>
      </c>
      <c r="C643" t="inlineStr">
        <is>
          <t>Föryngringsavverkning</t>
        </is>
      </c>
      <c r="D643" s="1" t="n">
        <v>46203</v>
      </c>
      <c r="E643" s="1" t="n">
        <v>46218</v>
      </c>
      <c r="F643" t="inlineStr">
        <is>
          <t>KRONOBERGS LÄN</t>
        </is>
      </c>
      <c r="G643" t="inlineStr">
        <is>
          <t>UPPVIDINGE</t>
        </is>
      </c>
      <c r="H643" t="inlineStr">
        <is>
          <t>Sveaskog</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29542-2026</t>
        </is>
      </c>
      <c r="B644" t="inlineStr">
        <is>
          <t>avverkningsanmälan</t>
        </is>
      </c>
      <c r="C644" t="inlineStr">
        <is>
          <t>Föryngringsavverkning</t>
        </is>
      </c>
      <c r="D644" s="1" t="n">
        <v>46203</v>
      </c>
      <c r="E644" s="1" t="n">
        <v>46218</v>
      </c>
      <c r="F644" t="inlineStr">
        <is>
          <t>KRONOBERGS LÄN</t>
        </is>
      </c>
      <c r="G644" t="inlineStr">
        <is>
          <t>UPPVIDINGE</t>
        </is>
      </c>
      <c r="H644" t="inlineStr">
        <is>
          <t>Sveaskog</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29548-2026</t>
        </is>
      </c>
      <c r="B645" t="inlineStr">
        <is>
          <t>avverkningsanmälan</t>
        </is>
      </c>
      <c r="C645" t="inlineStr">
        <is>
          <t>Föryngringsavverkning</t>
        </is>
      </c>
      <c r="D645" s="1" t="n">
        <v>46203</v>
      </c>
      <c r="E645" s="1" t="n">
        <v>46218</v>
      </c>
      <c r="F645" t="inlineStr">
        <is>
          <t>KRONOBERGS LÄN</t>
        </is>
      </c>
      <c r="G645" t="inlineStr">
        <is>
          <t>UPPVIDINGE</t>
        </is>
      </c>
      <c r="H645" t="inlineStr">
        <is>
          <t>Sveaskog</t>
        </is>
      </c>
      <c r="I645" t="n">
        <v>3.9</v>
      </c>
      <c r="J645" t="n">
        <v>0</v>
      </c>
      <c r="K645" t="n">
        <v>0</v>
      </c>
      <c r="L645" t="n">
        <v>0</v>
      </c>
      <c r="M645" t="n">
        <v>0</v>
      </c>
      <c r="N645" t="n">
        <v>0</v>
      </c>
      <c r="O645" t="n">
        <v>0</v>
      </c>
      <c r="P645" t="n">
        <v>0</v>
      </c>
      <c r="Q645" t="n">
        <v>0</v>
      </c>
      <c r="R645" t="n">
        <v>0</v>
      </c>
      <c r="S645" t="n">
        <v>0</v>
      </c>
      <c r="T645" t="n">
        <v>0</v>
      </c>
      <c r="U645" s="2" t="inlineStr"/>
    </row>
    <row r="646" ht="15" customHeight="1">
      <c r="A646" t="inlineStr">
        <is>
          <t>A 2884-2025</t>
        </is>
      </c>
      <c r="B646" t="inlineStr">
        <is>
          <t>avverkningsanmälan</t>
        </is>
      </c>
      <c r="C646" t="inlineStr">
        <is>
          <t>Föryngringsavverkning</t>
        </is>
      </c>
      <c r="D646" s="1" t="n">
        <v>45677</v>
      </c>
      <c r="E646" s="1" t="n">
        <v>46218</v>
      </c>
      <c r="F646" t="inlineStr">
        <is>
          <t>KRONOBERGS LÄN</t>
        </is>
      </c>
      <c r="G646" t="inlineStr">
        <is>
          <t>UPPVIDINGE</t>
        </is>
      </c>
      <c r="I646" t="n">
        <v>5.3</v>
      </c>
      <c r="J646" t="n">
        <v>0</v>
      </c>
      <c r="K646" t="n">
        <v>0</v>
      </c>
      <c r="L646" t="n">
        <v>0</v>
      </c>
      <c r="M646" t="n">
        <v>0</v>
      </c>
      <c r="N646" t="n">
        <v>0</v>
      </c>
      <c r="O646" t="n">
        <v>0</v>
      </c>
      <c r="P646" t="n">
        <v>0</v>
      </c>
      <c r="Q646" t="n">
        <v>0</v>
      </c>
      <c r="R646" t="n">
        <v>0</v>
      </c>
      <c r="S646" t="n">
        <v>0</v>
      </c>
      <c r="T646" t="n">
        <v>0</v>
      </c>
      <c r="U646" s="2" t="inlineStr"/>
    </row>
    <row r="647" ht="15" customHeight="1">
      <c r="A647" t="inlineStr">
        <is>
          <t>A 19599-2025</t>
        </is>
      </c>
      <c r="B647" t="inlineStr">
        <is>
          <t>avverkningsanmälan</t>
        </is>
      </c>
      <c r="C647" t="inlineStr">
        <is>
          <t>Föryngringsavverkning</t>
        </is>
      </c>
      <c r="D647" s="1" t="n">
        <v>45770</v>
      </c>
      <c r="E647" s="1" t="n">
        <v>46218</v>
      </c>
      <c r="F647" t="inlineStr">
        <is>
          <t>KRONOBERGS LÄN</t>
        </is>
      </c>
      <c r="G647" t="inlineStr">
        <is>
          <t>UPPVIDINGE</t>
        </is>
      </c>
      <c r="I647" t="n">
        <v>2</v>
      </c>
      <c r="J647" t="n">
        <v>0</v>
      </c>
      <c r="K647" t="n">
        <v>0</v>
      </c>
      <c r="L647" t="n">
        <v>0</v>
      </c>
      <c r="M647" t="n">
        <v>0</v>
      </c>
      <c r="N647" t="n">
        <v>0</v>
      </c>
      <c r="O647" t="n">
        <v>0</v>
      </c>
      <c r="P647" t="n">
        <v>0</v>
      </c>
      <c r="Q647" t="n">
        <v>0</v>
      </c>
      <c r="R647" t="n">
        <v>0</v>
      </c>
      <c r="S647" t="n">
        <v>0</v>
      </c>
      <c r="T647" t="n">
        <v>0</v>
      </c>
      <c r="U647" s="2" t="inlineStr"/>
    </row>
    <row r="648" ht="15" customHeight="1">
      <c r="A648" t="inlineStr">
        <is>
          <t>A 51836-2023</t>
        </is>
      </c>
      <c r="B648" t="inlineStr">
        <is>
          <t>avverkningsanmälan</t>
        </is>
      </c>
      <c r="C648" t="inlineStr">
        <is>
          <t>Föryngringsavverkning</t>
        </is>
      </c>
      <c r="D648" s="1" t="n">
        <v>45223</v>
      </c>
      <c r="E648" s="1" t="n">
        <v>46218</v>
      </c>
      <c r="F648" t="inlineStr">
        <is>
          <t>KRONOBERGS LÄN</t>
        </is>
      </c>
      <c r="G648" t="inlineStr">
        <is>
          <t>UPPVIDINGE</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11424-2024</t>
        </is>
      </c>
      <c r="B649" t="inlineStr">
        <is>
          <t>avverkningsanmälan</t>
        </is>
      </c>
      <c r="C649" t="inlineStr">
        <is>
          <t>Föryngringsavverkning</t>
        </is>
      </c>
      <c r="D649" s="1" t="n">
        <v>45372</v>
      </c>
      <c r="E649" s="1" t="n">
        <v>46218</v>
      </c>
      <c r="F649" t="inlineStr">
        <is>
          <t>KRONOBERGS LÄN</t>
        </is>
      </c>
      <c r="G649" t="inlineStr">
        <is>
          <t>UPPVIDINGE</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29536-2026</t>
        </is>
      </c>
      <c r="B650" t="inlineStr">
        <is>
          <t>avverkningsanmälan</t>
        </is>
      </c>
      <c r="C650" t="inlineStr">
        <is>
          <t>Föryngringsavverkning</t>
        </is>
      </c>
      <c r="D650" s="1" t="n">
        <v>46203</v>
      </c>
      <c r="E650" s="1" t="n">
        <v>46218</v>
      </c>
      <c r="F650" t="inlineStr">
        <is>
          <t>KRONOBERGS LÄN</t>
        </is>
      </c>
      <c r="G650" t="inlineStr">
        <is>
          <t>UPPVIDINGE</t>
        </is>
      </c>
      <c r="H650" t="inlineStr">
        <is>
          <t>Sveaskog</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29540-2026</t>
        </is>
      </c>
      <c r="B651" t="inlineStr">
        <is>
          <t>avverkningsanmälan</t>
        </is>
      </c>
      <c r="C651" t="inlineStr">
        <is>
          <t>Föryngringsavverkning</t>
        </is>
      </c>
      <c r="D651" s="1" t="n">
        <v>46203</v>
      </c>
      <c r="E651" s="1" t="n">
        <v>46218</v>
      </c>
      <c r="F651" t="inlineStr">
        <is>
          <t>KRONOBERGS LÄN</t>
        </is>
      </c>
      <c r="G651" t="inlineStr">
        <is>
          <t>UPPVIDINGE</t>
        </is>
      </c>
      <c r="H651" t="inlineStr">
        <is>
          <t>Sveaskog</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4780-2026</t>
        </is>
      </c>
      <c r="B652" t="inlineStr">
        <is>
          <t>avverkningsanmälan</t>
        </is>
      </c>
      <c r="C652" t="inlineStr">
        <is>
          <t>Föryngringsavverkning</t>
        </is>
      </c>
      <c r="D652" s="1" t="n">
        <v>46048</v>
      </c>
      <c r="E652" s="1" t="n">
        <v>46218</v>
      </c>
      <c r="F652" t="inlineStr">
        <is>
          <t>KRONOBERGS LÄN</t>
        </is>
      </c>
      <c r="G652" t="inlineStr">
        <is>
          <t>UPPVIDINGE</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4781-2026</t>
        </is>
      </c>
      <c r="B653" t="inlineStr">
        <is>
          <t>avverkningsanmälan</t>
        </is>
      </c>
      <c r="C653" t="inlineStr">
        <is>
          <t>Föryngringsavverkning</t>
        </is>
      </c>
      <c r="D653" s="1" t="n">
        <v>46048</v>
      </c>
      <c r="E653" s="1" t="n">
        <v>46218</v>
      </c>
      <c r="F653" t="inlineStr">
        <is>
          <t>KRONOBERGS LÄN</t>
        </is>
      </c>
      <c r="G653" t="inlineStr">
        <is>
          <t>UPPVIDINGE</t>
        </is>
      </c>
      <c r="I653" t="n">
        <v>1.9</v>
      </c>
      <c r="J653" t="n">
        <v>0</v>
      </c>
      <c r="K653" t="n">
        <v>0</v>
      </c>
      <c r="L653" t="n">
        <v>0</v>
      </c>
      <c r="M653" t="n">
        <v>0</v>
      </c>
      <c r="N653" t="n">
        <v>0</v>
      </c>
      <c r="O653" t="n">
        <v>0</v>
      </c>
      <c r="P653" t="n">
        <v>0</v>
      </c>
      <c r="Q653" t="n">
        <v>0</v>
      </c>
      <c r="R653" t="n">
        <v>0</v>
      </c>
      <c r="S653" t="n">
        <v>0</v>
      </c>
      <c r="T653" t="n">
        <v>0</v>
      </c>
      <c r="U653" s="2" t="inlineStr"/>
    </row>
    <row r="654" ht="15" customHeight="1">
      <c r="A654" t="inlineStr">
        <is>
          <t>A 38856-2024</t>
        </is>
      </c>
      <c r="B654" t="inlineStr">
        <is>
          <t>avverkningsanmälan</t>
        </is>
      </c>
      <c r="C654" t="inlineStr">
        <is>
          <t>Avverkning för annat ändamål</t>
        </is>
      </c>
      <c r="D654" s="1" t="n">
        <v>45547</v>
      </c>
      <c r="E654" s="1" t="n">
        <v>46218</v>
      </c>
      <c r="F654" t="inlineStr">
        <is>
          <t>KRONOBERGS LÄN</t>
        </is>
      </c>
      <c r="G654" t="inlineStr">
        <is>
          <t>UPPVIDINGE</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5540-2026</t>
        </is>
      </c>
      <c r="B655" t="inlineStr">
        <is>
          <t>avverkningsanmälan</t>
        </is>
      </c>
      <c r="C655" t="inlineStr">
        <is>
          <t>Föryngringsavverkning</t>
        </is>
      </c>
      <c r="D655" s="1" t="n">
        <v>46050</v>
      </c>
      <c r="E655" s="1" t="n">
        <v>46218</v>
      </c>
      <c r="F655" t="inlineStr">
        <is>
          <t>KRONOBERGS LÄN</t>
        </is>
      </c>
      <c r="G655" t="inlineStr">
        <is>
          <t>UPPVIDINGE</t>
        </is>
      </c>
      <c r="H655" t="inlineStr">
        <is>
          <t>Sveaskog</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47015-2023</t>
        </is>
      </c>
      <c r="B656" t="inlineStr">
        <is>
          <t>avverkningsanmälan</t>
        </is>
      </c>
      <c r="C656" t="inlineStr">
        <is>
          <t>Föryngringsavverkning</t>
        </is>
      </c>
      <c r="D656" s="1" t="n">
        <v>45201</v>
      </c>
      <c r="E656" s="1" t="n">
        <v>46218</v>
      </c>
      <c r="F656" t="inlineStr">
        <is>
          <t>KRONOBERGS LÄN</t>
        </is>
      </c>
      <c r="G656" t="inlineStr">
        <is>
          <t>UPPVIDINGE</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5504-2026</t>
        </is>
      </c>
      <c r="B657" t="inlineStr">
        <is>
          <t>avverkningsanmälan</t>
        </is>
      </c>
      <c r="C657" t="inlineStr">
        <is>
          <t>Föryngringsavverkning</t>
        </is>
      </c>
      <c r="D657" s="1" t="n">
        <v>46050</v>
      </c>
      <c r="E657" s="1" t="n">
        <v>46218</v>
      </c>
      <c r="F657" t="inlineStr">
        <is>
          <t>KRONOBERGS LÄN</t>
        </is>
      </c>
      <c r="G657" t="inlineStr">
        <is>
          <t>UPPVIDINGE</t>
        </is>
      </c>
      <c r="H657" t="inlineStr">
        <is>
          <t>Sveaskog</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29545-2026</t>
        </is>
      </c>
      <c r="B658" t="inlineStr">
        <is>
          <t>avverkningsanmälan</t>
        </is>
      </c>
      <c r="C658" t="inlineStr">
        <is>
          <t>Föryngringsavverkning</t>
        </is>
      </c>
      <c r="D658" s="1" t="n">
        <v>46203</v>
      </c>
      <c r="E658" s="1" t="n">
        <v>46218</v>
      </c>
      <c r="F658" t="inlineStr">
        <is>
          <t>KRONOBERGS LÄN</t>
        </is>
      </c>
      <c r="G658" t="inlineStr">
        <is>
          <t>UPPVIDINGE</t>
        </is>
      </c>
      <c r="H658" t="inlineStr">
        <is>
          <t>Sveaskog</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29546-2026</t>
        </is>
      </c>
      <c r="B659" t="inlineStr">
        <is>
          <t>avverkningsanmälan</t>
        </is>
      </c>
      <c r="C659" t="inlineStr">
        <is>
          <t>Föryngringsavverkning</t>
        </is>
      </c>
      <c r="D659" s="1" t="n">
        <v>46203</v>
      </c>
      <c r="E659" s="1" t="n">
        <v>46218</v>
      </c>
      <c r="F659" t="inlineStr">
        <is>
          <t>KRONOBERGS LÄN</t>
        </is>
      </c>
      <c r="G659" t="inlineStr">
        <is>
          <t>UPPVIDINGE</t>
        </is>
      </c>
      <c r="H659" t="inlineStr">
        <is>
          <t>Sveaskog</t>
        </is>
      </c>
      <c r="I659" t="n">
        <v>4.2</v>
      </c>
      <c r="J659" t="n">
        <v>0</v>
      </c>
      <c r="K659" t="n">
        <v>0</v>
      </c>
      <c r="L659" t="n">
        <v>0</v>
      </c>
      <c r="M659" t="n">
        <v>0</v>
      </c>
      <c r="N659" t="n">
        <v>0</v>
      </c>
      <c r="O659" t="n">
        <v>0</v>
      </c>
      <c r="P659" t="n">
        <v>0</v>
      </c>
      <c r="Q659" t="n">
        <v>0</v>
      </c>
      <c r="R659" t="n">
        <v>0</v>
      </c>
      <c r="S659" t="n">
        <v>0</v>
      </c>
      <c r="T659" t="n">
        <v>0</v>
      </c>
      <c r="U659" s="2" t="inlineStr"/>
    </row>
    <row r="660" ht="15" customHeight="1">
      <c r="A660" t="inlineStr">
        <is>
          <t>A 29550-2026</t>
        </is>
      </c>
      <c r="B660" t="inlineStr">
        <is>
          <t>avverkningsanmälan</t>
        </is>
      </c>
      <c r="C660" t="inlineStr">
        <is>
          <t>Föryngringsavverkning</t>
        </is>
      </c>
      <c r="D660" s="1" t="n">
        <v>46203</v>
      </c>
      <c r="E660" s="1" t="n">
        <v>46218</v>
      </c>
      <c r="F660" t="inlineStr">
        <is>
          <t>KRONOBERGS LÄN</t>
        </is>
      </c>
      <c r="G660" t="inlineStr">
        <is>
          <t>UPPVIDINGE</t>
        </is>
      </c>
      <c r="H660" t="inlineStr">
        <is>
          <t>Sveaskog</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43500-2023</t>
        </is>
      </c>
      <c r="B661" t="inlineStr">
        <is>
          <t>avverkningsanmälan</t>
        </is>
      </c>
      <c r="C661" t="inlineStr">
        <is>
          <t>Föryngringsavverkning</t>
        </is>
      </c>
      <c r="D661" s="1" t="n">
        <v>45184</v>
      </c>
      <c r="E661" s="1" t="n">
        <v>46218</v>
      </c>
      <c r="F661" t="inlineStr">
        <is>
          <t>KRONOBERGS LÄN</t>
        </is>
      </c>
      <c r="G661" t="inlineStr">
        <is>
          <t>UPPVIDINGE</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29544-2026</t>
        </is>
      </c>
      <c r="B662" t="inlineStr">
        <is>
          <t>avverkningsanmälan</t>
        </is>
      </c>
      <c r="C662" t="inlineStr">
        <is>
          <t>Föryngringsavverkning</t>
        </is>
      </c>
      <c r="D662" s="1" t="n">
        <v>46203</v>
      </c>
      <c r="E662" s="1" t="n">
        <v>46218</v>
      </c>
      <c r="F662" t="inlineStr">
        <is>
          <t>KRONOBERGS LÄN</t>
        </is>
      </c>
      <c r="G662" t="inlineStr">
        <is>
          <t>UPPVIDINGE</t>
        </is>
      </c>
      <c r="H662" t="inlineStr">
        <is>
          <t>Sveaskog</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49373-2023</t>
        </is>
      </c>
      <c r="B663" t="inlineStr">
        <is>
          <t>avverkningsanmälan</t>
        </is>
      </c>
      <c r="C663" t="inlineStr">
        <is>
          <t>Föryngringsavverkning</t>
        </is>
      </c>
      <c r="D663" s="1" t="n">
        <v>45211</v>
      </c>
      <c r="E663" s="1" t="n">
        <v>46218</v>
      </c>
      <c r="F663" t="inlineStr">
        <is>
          <t>KRONOBERGS LÄN</t>
        </is>
      </c>
      <c r="G663" t="inlineStr">
        <is>
          <t>UPPVIDINGE</t>
        </is>
      </c>
      <c r="I663" t="n">
        <v>2.9</v>
      </c>
      <c r="J663" t="n">
        <v>0</v>
      </c>
      <c r="K663" t="n">
        <v>0</v>
      </c>
      <c r="L663" t="n">
        <v>0</v>
      </c>
      <c r="M663" t="n">
        <v>0</v>
      </c>
      <c r="N663" t="n">
        <v>0</v>
      </c>
      <c r="O663" t="n">
        <v>0</v>
      </c>
      <c r="P663" t="n">
        <v>0</v>
      </c>
      <c r="Q663" t="n">
        <v>0</v>
      </c>
      <c r="R663" t="n">
        <v>0</v>
      </c>
      <c r="S663" t="n">
        <v>0</v>
      </c>
      <c r="T663" t="n">
        <v>0</v>
      </c>
      <c r="U663" s="2" t="inlineStr"/>
    </row>
    <row r="664" ht="15" customHeight="1">
      <c r="A664" t="inlineStr">
        <is>
          <t>A 5837-2026</t>
        </is>
      </c>
      <c r="B664" t="inlineStr">
        <is>
          <t>avverkningsanmälan</t>
        </is>
      </c>
      <c r="C664" t="inlineStr">
        <is>
          <t>Föryngringsavverkning</t>
        </is>
      </c>
      <c r="D664" s="1" t="n">
        <v>46052</v>
      </c>
      <c r="E664" s="1" t="n">
        <v>46218</v>
      </c>
      <c r="F664" t="inlineStr">
        <is>
          <t>KRONOBERGS LÄN</t>
        </is>
      </c>
      <c r="G664" t="inlineStr">
        <is>
          <t>UPPVIDINGE</t>
        </is>
      </c>
      <c r="H664" t="inlineStr">
        <is>
          <t>Sveaskog</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62320-2022</t>
        </is>
      </c>
      <c r="B665" t="inlineStr">
        <is>
          <t>avverkningsanmälan</t>
        </is>
      </c>
      <c r="C665" t="inlineStr">
        <is>
          <t>Föryngringsavverkning</t>
        </is>
      </c>
      <c r="D665" s="1" t="n">
        <v>44923</v>
      </c>
      <c r="E665" s="1" t="n">
        <v>46218</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29549-2026</t>
        </is>
      </c>
      <c r="B666" t="inlineStr">
        <is>
          <t>avverkningsanmälan</t>
        </is>
      </c>
      <c r="C666" t="inlineStr">
        <is>
          <t>Föryngringsavverkning</t>
        </is>
      </c>
      <c r="D666" s="1" t="n">
        <v>46203</v>
      </c>
      <c r="E666" s="1" t="n">
        <v>46218</v>
      </c>
      <c r="F666" t="inlineStr">
        <is>
          <t>KRONOBERGS LÄN</t>
        </is>
      </c>
      <c r="G666" t="inlineStr">
        <is>
          <t>UPPVIDINGE</t>
        </is>
      </c>
      <c r="H666" t="inlineStr">
        <is>
          <t>Sveaskog</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5850-2026</t>
        </is>
      </c>
      <c r="B667" t="inlineStr">
        <is>
          <t>avverkningsanmälan</t>
        </is>
      </c>
      <c r="C667" t="inlineStr">
        <is>
          <t>Föryngringsavverkning</t>
        </is>
      </c>
      <c r="D667" s="1" t="n">
        <v>46052</v>
      </c>
      <c r="E667" s="1" t="n">
        <v>46218</v>
      </c>
      <c r="F667" t="inlineStr">
        <is>
          <t>KRONOBERGS LÄN</t>
        </is>
      </c>
      <c r="G667" t="inlineStr">
        <is>
          <t>UPPVIDINGE</t>
        </is>
      </c>
      <c r="H667" t="inlineStr">
        <is>
          <t>Sveaskog</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5847-2026</t>
        </is>
      </c>
      <c r="B668" t="inlineStr">
        <is>
          <t>avverkningsanmälan</t>
        </is>
      </c>
      <c r="C668" t="inlineStr">
        <is>
          <t>Föryngringsavverkning</t>
        </is>
      </c>
      <c r="D668" s="1" t="n">
        <v>46052</v>
      </c>
      <c r="E668" s="1" t="n">
        <v>46218</v>
      </c>
      <c r="F668" t="inlineStr">
        <is>
          <t>KRONOBERGS LÄN</t>
        </is>
      </c>
      <c r="G668" t="inlineStr">
        <is>
          <t>UPPVIDINGE</t>
        </is>
      </c>
      <c r="H668" t="inlineStr">
        <is>
          <t>Sveaskog</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5852-2026</t>
        </is>
      </c>
      <c r="B669" t="inlineStr">
        <is>
          <t>avverkningsanmälan</t>
        </is>
      </c>
      <c r="C669" t="inlineStr">
        <is>
          <t>Föryngringsavverkning</t>
        </is>
      </c>
      <c r="D669" s="1" t="n">
        <v>46052</v>
      </c>
      <c r="E669" s="1" t="n">
        <v>46218</v>
      </c>
      <c r="F669" t="inlineStr">
        <is>
          <t>KRONOBERGS LÄN</t>
        </is>
      </c>
      <c r="G669" t="inlineStr">
        <is>
          <t>UPPVIDINGE</t>
        </is>
      </c>
      <c r="H669" t="inlineStr">
        <is>
          <t>Sveaskog</t>
        </is>
      </c>
      <c r="I669" t="n">
        <v>2.8</v>
      </c>
      <c r="J669" t="n">
        <v>0</v>
      </c>
      <c r="K669" t="n">
        <v>0</v>
      </c>
      <c r="L669" t="n">
        <v>0</v>
      </c>
      <c r="M669" t="n">
        <v>0</v>
      </c>
      <c r="N669" t="n">
        <v>0</v>
      </c>
      <c r="O669" t="n">
        <v>0</v>
      </c>
      <c r="P669" t="n">
        <v>0</v>
      </c>
      <c r="Q669" t="n">
        <v>0</v>
      </c>
      <c r="R669" t="n">
        <v>0</v>
      </c>
      <c r="S669" t="n">
        <v>0</v>
      </c>
      <c r="T669" t="n">
        <v>0</v>
      </c>
      <c r="U669" s="2" t="inlineStr"/>
    </row>
    <row r="670" ht="15" customHeight="1">
      <c r="A670" t="inlineStr">
        <is>
          <t>A 5828-2026</t>
        </is>
      </c>
      <c r="B670" t="inlineStr">
        <is>
          <t>avverkningsanmälan</t>
        </is>
      </c>
      <c r="C670" t="inlineStr">
        <is>
          <t>Föryngringsavverkning</t>
        </is>
      </c>
      <c r="D670" s="1" t="n">
        <v>46052</v>
      </c>
      <c r="E670" s="1" t="n">
        <v>46218</v>
      </c>
      <c r="F670" t="inlineStr">
        <is>
          <t>KRONOBERGS LÄN</t>
        </is>
      </c>
      <c r="G670" t="inlineStr">
        <is>
          <t>UPPVIDINGE</t>
        </is>
      </c>
      <c r="H670" t="inlineStr">
        <is>
          <t>Sveaskog</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5998-2026</t>
        </is>
      </c>
      <c r="B671" t="inlineStr">
        <is>
          <t>avverkningsanmälan</t>
        </is>
      </c>
      <c r="C671" t="inlineStr">
        <is>
          <t>Föryngringsavverkning</t>
        </is>
      </c>
      <c r="D671" s="1" t="n">
        <v>46052</v>
      </c>
      <c r="E671" s="1" t="n">
        <v>46218</v>
      </c>
      <c r="F671" t="inlineStr">
        <is>
          <t>KRONOBERGS LÄN</t>
        </is>
      </c>
      <c r="G671" t="inlineStr">
        <is>
          <t>UPPVIDINGE</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5867-2026</t>
        </is>
      </c>
      <c r="B672" t="inlineStr">
        <is>
          <t>avverkningsanmälan</t>
        </is>
      </c>
      <c r="C672" t="inlineStr">
        <is>
          <t>Föryngringsavverkning</t>
        </is>
      </c>
      <c r="D672" s="1" t="n">
        <v>46052</v>
      </c>
      <c r="E672" s="1" t="n">
        <v>46218</v>
      </c>
      <c r="F672" t="inlineStr">
        <is>
          <t>KRONOBERGS LÄN</t>
        </is>
      </c>
      <c r="G672" t="inlineStr">
        <is>
          <t>UPPVIDINGE</t>
        </is>
      </c>
      <c r="H672" t="inlineStr">
        <is>
          <t>Sveaskog</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23367-2026</t>
        </is>
      </c>
      <c r="B673" t="inlineStr">
        <is>
          <t>avverkningsanmälan</t>
        </is>
      </c>
      <c r="C673" t="inlineStr">
        <is>
          <t>Föryngringsavverkning</t>
        </is>
      </c>
      <c r="D673" s="1" t="n">
        <v>46162</v>
      </c>
      <c r="E673" s="1" t="n">
        <v>46218</v>
      </c>
      <c r="F673" t="inlineStr">
        <is>
          <t>KRONOBERGS LÄN</t>
        </is>
      </c>
      <c r="G673" t="inlineStr">
        <is>
          <t>UPPVIDINGE</t>
        </is>
      </c>
      <c r="I673" t="n">
        <v>7.7</v>
      </c>
      <c r="J673" t="n">
        <v>0</v>
      </c>
      <c r="K673" t="n">
        <v>0</v>
      </c>
      <c r="L673" t="n">
        <v>0</v>
      </c>
      <c r="M673" t="n">
        <v>0</v>
      </c>
      <c r="N673" t="n">
        <v>0</v>
      </c>
      <c r="O673" t="n">
        <v>0</v>
      </c>
      <c r="P673" t="n">
        <v>0</v>
      </c>
      <c r="Q673" t="n">
        <v>0</v>
      </c>
      <c r="R673" t="n">
        <v>0</v>
      </c>
      <c r="S673" t="n">
        <v>0</v>
      </c>
      <c r="T673" t="n">
        <v>0</v>
      </c>
      <c r="U673" s="2" t="inlineStr"/>
    </row>
    <row r="674" ht="15" customHeight="1">
      <c r="A674" t="inlineStr">
        <is>
          <t>A 7046-2026</t>
        </is>
      </c>
      <c r="B674" t="inlineStr">
        <is>
          <t>avverkningsanmälan</t>
        </is>
      </c>
      <c r="C674" t="inlineStr">
        <is>
          <t>Föryngringsavverkning</t>
        </is>
      </c>
      <c r="D674" s="1" t="n">
        <v>46057</v>
      </c>
      <c r="E674" s="1" t="n">
        <v>46218</v>
      </c>
      <c r="F674" t="inlineStr">
        <is>
          <t>KRONOBERGS LÄN</t>
        </is>
      </c>
      <c r="G674" t="inlineStr">
        <is>
          <t>UPPVIDINGE</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7140-2026</t>
        </is>
      </c>
      <c r="B675" t="inlineStr">
        <is>
          <t>avverkningsanmälan</t>
        </is>
      </c>
      <c r="C675" t="inlineStr">
        <is>
          <t>Föryngringsavverkning</t>
        </is>
      </c>
      <c r="D675" s="1" t="n">
        <v>46058</v>
      </c>
      <c r="E675" s="1" t="n">
        <v>46218</v>
      </c>
      <c r="F675" t="inlineStr">
        <is>
          <t>KRONOBERGS LÄN</t>
        </is>
      </c>
      <c r="G675" t="inlineStr">
        <is>
          <t>UPPVIDINGE</t>
        </is>
      </c>
      <c r="H675" t="inlineStr">
        <is>
          <t>Sveaskog</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7251-2026</t>
        </is>
      </c>
      <c r="B676" t="inlineStr">
        <is>
          <t>avverkningsanmälan</t>
        </is>
      </c>
      <c r="C676" t="inlineStr">
        <is>
          <t>Föryngringsavverkning</t>
        </is>
      </c>
      <c r="D676" s="1" t="n">
        <v>46058</v>
      </c>
      <c r="E676" s="1" t="n">
        <v>46218</v>
      </c>
      <c r="F676" t="inlineStr">
        <is>
          <t>KRONOBERGS LÄN</t>
        </is>
      </c>
      <c r="G676" t="inlineStr">
        <is>
          <t>UPPVIDINGE</t>
        </is>
      </c>
      <c r="I676" t="n">
        <v>2.4</v>
      </c>
      <c r="J676" t="n">
        <v>0</v>
      </c>
      <c r="K676" t="n">
        <v>0</v>
      </c>
      <c r="L676" t="n">
        <v>0</v>
      </c>
      <c r="M676" t="n">
        <v>0</v>
      </c>
      <c r="N676" t="n">
        <v>0</v>
      </c>
      <c r="O676" t="n">
        <v>0</v>
      </c>
      <c r="P676" t="n">
        <v>0</v>
      </c>
      <c r="Q676" t="n">
        <v>0</v>
      </c>
      <c r="R676" t="n">
        <v>0</v>
      </c>
      <c r="S676" t="n">
        <v>0</v>
      </c>
      <c r="T676" t="n">
        <v>0</v>
      </c>
      <c r="U676" s="2" t="inlineStr"/>
    </row>
    <row r="677" ht="15" customHeight="1">
      <c r="A677" t="inlineStr">
        <is>
          <t>A 23620-2026</t>
        </is>
      </c>
      <c r="B677" t="inlineStr">
        <is>
          <t>avverkningsanmälan</t>
        </is>
      </c>
      <c r="C677" t="inlineStr">
        <is>
          <t>Föryngringsavverkning</t>
        </is>
      </c>
      <c r="D677" s="1" t="n">
        <v>46163</v>
      </c>
      <c r="E677" s="1" t="n">
        <v>46218</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23247-2026</t>
        </is>
      </c>
      <c r="B678" t="inlineStr">
        <is>
          <t>avverkningsanmälan</t>
        </is>
      </c>
      <c r="C678" t="inlineStr">
        <is>
          <t>Föryngringsavverkning</t>
        </is>
      </c>
      <c r="D678" s="1" t="n">
        <v>46162</v>
      </c>
      <c r="E678" s="1" t="n">
        <v>46218</v>
      </c>
      <c r="F678" t="inlineStr">
        <is>
          <t>KRONOBERGS LÄN</t>
        </is>
      </c>
      <c r="G678" t="inlineStr">
        <is>
          <t>UPPVIDINGE</t>
        </is>
      </c>
      <c r="I678" t="n">
        <v>3.5</v>
      </c>
      <c r="J678" t="n">
        <v>0</v>
      </c>
      <c r="K678" t="n">
        <v>0</v>
      </c>
      <c r="L678" t="n">
        <v>0</v>
      </c>
      <c r="M678" t="n">
        <v>0</v>
      </c>
      <c r="N678" t="n">
        <v>0</v>
      </c>
      <c r="O678" t="n">
        <v>0</v>
      </c>
      <c r="P678" t="n">
        <v>0</v>
      </c>
      <c r="Q678" t="n">
        <v>0</v>
      </c>
      <c r="R678" t="n">
        <v>0</v>
      </c>
      <c r="S678" t="n">
        <v>0</v>
      </c>
      <c r="T678" t="n">
        <v>0</v>
      </c>
      <c r="U678" s="2" t="inlineStr"/>
    </row>
    <row r="679" ht="15" customHeight="1">
      <c r="A679" t="inlineStr">
        <is>
          <t>A 7142-2026</t>
        </is>
      </c>
      <c r="B679" t="inlineStr">
        <is>
          <t>avverkningsanmälan</t>
        </is>
      </c>
      <c r="C679" t="inlineStr">
        <is>
          <t>Föryngringsavverkning</t>
        </is>
      </c>
      <c r="D679" s="1" t="n">
        <v>46058</v>
      </c>
      <c r="E679" s="1" t="n">
        <v>46218</v>
      </c>
      <c r="F679" t="inlineStr">
        <is>
          <t>KRONOBERGS LÄN</t>
        </is>
      </c>
      <c r="G679" t="inlineStr">
        <is>
          <t>UPPVIDINGE</t>
        </is>
      </c>
      <c r="H679" t="inlineStr">
        <is>
          <t>Sveaskog</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7843-2026</t>
        </is>
      </c>
      <c r="B680" t="inlineStr">
        <is>
          <t>avverkningsanmälan</t>
        </is>
      </c>
      <c r="C680" t="inlineStr">
        <is>
          <t>Föryngringsavverkning</t>
        </is>
      </c>
      <c r="D680" s="1" t="n">
        <v>46062</v>
      </c>
      <c r="E680" s="1" t="n">
        <v>46218</v>
      </c>
      <c r="F680" t="inlineStr">
        <is>
          <t>KRONOBERGS LÄN</t>
        </is>
      </c>
      <c r="G680" t="inlineStr">
        <is>
          <t>UPPVIDINGE</t>
        </is>
      </c>
      <c r="I680" t="n">
        <v>6.6</v>
      </c>
      <c r="J680" t="n">
        <v>0</v>
      </c>
      <c r="K680" t="n">
        <v>0</v>
      </c>
      <c r="L680" t="n">
        <v>0</v>
      </c>
      <c r="M680" t="n">
        <v>0</v>
      </c>
      <c r="N680" t="n">
        <v>0</v>
      </c>
      <c r="O680" t="n">
        <v>0</v>
      </c>
      <c r="P680" t="n">
        <v>0</v>
      </c>
      <c r="Q680" t="n">
        <v>0</v>
      </c>
      <c r="R680" t="n">
        <v>0</v>
      </c>
      <c r="S680" t="n">
        <v>0</v>
      </c>
      <c r="T680" t="n">
        <v>0</v>
      </c>
      <c r="U680" s="2" t="inlineStr"/>
    </row>
    <row r="681" ht="15" customHeight="1">
      <c r="A681" t="inlineStr">
        <is>
          <t>A 23384-2026</t>
        </is>
      </c>
      <c r="B681" t="inlineStr">
        <is>
          <t>avverkningsanmälan</t>
        </is>
      </c>
      <c r="C681" t="inlineStr">
        <is>
          <t>Föryngringsavverkning</t>
        </is>
      </c>
      <c r="D681" s="1" t="n">
        <v>46162</v>
      </c>
      <c r="E681" s="1" t="n">
        <v>46218</v>
      </c>
      <c r="F681" t="inlineStr">
        <is>
          <t>KRONOBERGS LÄN</t>
        </is>
      </c>
      <c r="G681" t="inlineStr">
        <is>
          <t>UPPVIDINGE</t>
        </is>
      </c>
      <c r="I681" t="n">
        <v>4.9</v>
      </c>
      <c r="J681" t="n">
        <v>0</v>
      </c>
      <c r="K681" t="n">
        <v>0</v>
      </c>
      <c r="L681" t="n">
        <v>0</v>
      </c>
      <c r="M681" t="n">
        <v>0</v>
      </c>
      <c r="N681" t="n">
        <v>0</v>
      </c>
      <c r="O681" t="n">
        <v>0</v>
      </c>
      <c r="P681" t="n">
        <v>0</v>
      </c>
      <c r="Q681" t="n">
        <v>0</v>
      </c>
      <c r="R681" t="n">
        <v>0</v>
      </c>
      <c r="S681" t="n">
        <v>0</v>
      </c>
      <c r="T681" t="n">
        <v>0</v>
      </c>
      <c r="U681" s="2" t="inlineStr"/>
    </row>
    <row r="682" ht="15" customHeight="1">
      <c r="A682" t="inlineStr">
        <is>
          <t>A 23618-2026</t>
        </is>
      </c>
      <c r="B682" t="inlineStr">
        <is>
          <t>avverkningsanmälan</t>
        </is>
      </c>
      <c r="C682" t="inlineStr">
        <is>
          <t>Föryngringsavverkning</t>
        </is>
      </c>
      <c r="D682" s="1" t="n">
        <v>46163</v>
      </c>
      <c r="E682" s="1" t="n">
        <v>46218</v>
      </c>
      <c r="F682" t="inlineStr">
        <is>
          <t>KRONOBERGS LÄN</t>
        </is>
      </c>
      <c r="G682" t="inlineStr">
        <is>
          <t>UPPVIDINGE</t>
        </is>
      </c>
      <c r="H682" t="inlineStr">
        <is>
          <t>Sveaskog</t>
        </is>
      </c>
      <c r="I682" t="n">
        <v>3.3</v>
      </c>
      <c r="J682" t="n">
        <v>0</v>
      </c>
      <c r="K682" t="n">
        <v>0</v>
      </c>
      <c r="L682" t="n">
        <v>0</v>
      </c>
      <c r="M682" t="n">
        <v>0</v>
      </c>
      <c r="N682" t="n">
        <v>0</v>
      </c>
      <c r="O682" t="n">
        <v>0</v>
      </c>
      <c r="P682" t="n">
        <v>0</v>
      </c>
      <c r="Q682" t="n">
        <v>0</v>
      </c>
      <c r="R682" t="n">
        <v>0</v>
      </c>
      <c r="S682" t="n">
        <v>0</v>
      </c>
      <c r="T682" t="n">
        <v>0</v>
      </c>
      <c r="U682" s="2" t="inlineStr"/>
    </row>
    <row r="683" ht="15" customHeight="1">
      <c r="A683" t="inlineStr">
        <is>
          <t>A 9260-2026</t>
        </is>
      </c>
      <c r="B683" t="inlineStr">
        <is>
          <t>avverkningsanmälan</t>
        </is>
      </c>
      <c r="C683" t="inlineStr">
        <is>
          <t>Föryngringsavverkning</t>
        </is>
      </c>
      <c r="D683" s="1" t="n">
        <v>46069</v>
      </c>
      <c r="E683" s="1" t="n">
        <v>46218</v>
      </c>
      <c r="F683" t="inlineStr">
        <is>
          <t>KRONOBERGS LÄN</t>
        </is>
      </c>
      <c r="G683" t="inlineStr">
        <is>
          <t>UPPVIDINGE</t>
        </is>
      </c>
      <c r="H683" t="inlineStr">
        <is>
          <t>Kyrkan</t>
        </is>
      </c>
      <c r="I683" t="n">
        <v>8.800000000000001</v>
      </c>
      <c r="J683" t="n">
        <v>0</v>
      </c>
      <c r="K683" t="n">
        <v>0</v>
      </c>
      <c r="L683" t="n">
        <v>0</v>
      </c>
      <c r="M683" t="n">
        <v>0</v>
      </c>
      <c r="N683" t="n">
        <v>0</v>
      </c>
      <c r="O683" t="n">
        <v>0</v>
      </c>
      <c r="P683" t="n">
        <v>0</v>
      </c>
      <c r="Q683" t="n">
        <v>0</v>
      </c>
      <c r="R683" t="n">
        <v>0</v>
      </c>
      <c r="S683" t="n">
        <v>0</v>
      </c>
      <c r="T683" t="n">
        <v>0</v>
      </c>
      <c r="U683" s="2" t="inlineStr"/>
    </row>
    <row r="684" ht="15" customHeight="1">
      <c r="A684" t="inlineStr">
        <is>
          <t>A 30245-2026</t>
        </is>
      </c>
      <c r="B684" t="inlineStr">
        <is>
          <t>avverkningsanmälan</t>
        </is>
      </c>
      <c r="C684" t="inlineStr">
        <is>
          <t>Föryngringsavverkning</t>
        </is>
      </c>
      <c r="D684" s="1" t="n">
        <v>46206</v>
      </c>
      <c r="E684" s="1" t="n">
        <v>46218</v>
      </c>
      <c r="F684" t="inlineStr">
        <is>
          <t>KRONOBERGS LÄN</t>
        </is>
      </c>
      <c r="G684" t="inlineStr">
        <is>
          <t>UPPVIDINGE</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30250-2026</t>
        </is>
      </c>
      <c r="B685" t="inlineStr">
        <is>
          <t>avverkningsanmälan</t>
        </is>
      </c>
      <c r="C685" t="inlineStr">
        <is>
          <t>Föryngringsavverkning</t>
        </is>
      </c>
      <c r="D685" s="1" t="n">
        <v>46206</v>
      </c>
      <c r="E685" s="1" t="n">
        <v>46218</v>
      </c>
      <c r="F685" t="inlineStr">
        <is>
          <t>KRONOBERGS LÄN</t>
        </is>
      </c>
      <c r="G685" t="inlineStr">
        <is>
          <t>UPPVIDINGE</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30251-2026</t>
        </is>
      </c>
      <c r="B686" t="inlineStr">
        <is>
          <t>avverkningsanmälan</t>
        </is>
      </c>
      <c r="C686" t="inlineStr">
        <is>
          <t>Föryngringsavverkning</t>
        </is>
      </c>
      <c r="D686" s="1" t="n">
        <v>46206</v>
      </c>
      <c r="E686" s="1" t="n">
        <v>46218</v>
      </c>
      <c r="F686" t="inlineStr">
        <is>
          <t>KRONOBERGS LÄN</t>
        </is>
      </c>
      <c r="G686" t="inlineStr">
        <is>
          <t>UPPVIDINGE</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24006-2026</t>
        </is>
      </c>
      <c r="B687" t="inlineStr">
        <is>
          <t>avverkningsanmälan</t>
        </is>
      </c>
      <c r="C687" t="inlineStr">
        <is>
          <t>Föryngringsavverkning</t>
        </is>
      </c>
      <c r="D687" s="1" t="n">
        <v>46167</v>
      </c>
      <c r="E687" s="1" t="n">
        <v>46218</v>
      </c>
      <c r="F687" t="inlineStr">
        <is>
          <t>KRONOBERGS LÄN</t>
        </is>
      </c>
      <c r="G687" t="inlineStr">
        <is>
          <t>UPPVIDINGE</t>
        </is>
      </c>
      <c r="H687" t="inlineStr">
        <is>
          <t>Sveaskog</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9459-2026</t>
        </is>
      </c>
      <c r="B688" t="inlineStr">
        <is>
          <t>avverkningsanmälan</t>
        </is>
      </c>
      <c r="C688" t="inlineStr">
        <is>
          <t>Föryngringsavverkning</t>
        </is>
      </c>
      <c r="D688" s="1" t="n">
        <v>46071</v>
      </c>
      <c r="E688" s="1" t="n">
        <v>46218</v>
      </c>
      <c r="F688" t="inlineStr">
        <is>
          <t>KRONOBERGS LÄN</t>
        </is>
      </c>
      <c r="G688" t="inlineStr">
        <is>
          <t>UPPVIDINGE</t>
        </is>
      </c>
      <c r="I688" t="n">
        <v>3.9</v>
      </c>
      <c r="J688" t="n">
        <v>0</v>
      </c>
      <c r="K688" t="n">
        <v>0</v>
      </c>
      <c r="L688" t="n">
        <v>0</v>
      </c>
      <c r="M688" t="n">
        <v>0</v>
      </c>
      <c r="N688" t="n">
        <v>0</v>
      </c>
      <c r="O688" t="n">
        <v>0</v>
      </c>
      <c r="P688" t="n">
        <v>0</v>
      </c>
      <c r="Q688" t="n">
        <v>0</v>
      </c>
      <c r="R688" t="n">
        <v>0</v>
      </c>
      <c r="S688" t="n">
        <v>0</v>
      </c>
      <c r="T688" t="n">
        <v>0</v>
      </c>
      <c r="U688" s="2" t="inlineStr"/>
    </row>
    <row r="689" ht="15" customHeight="1">
      <c r="A689" t="inlineStr">
        <is>
          <t>A 9499-2026</t>
        </is>
      </c>
      <c r="B689" t="inlineStr">
        <is>
          <t>avverkningsanmälan</t>
        </is>
      </c>
      <c r="C689" t="inlineStr">
        <is>
          <t>Föryngringsavverkning</t>
        </is>
      </c>
      <c r="D689" s="1" t="n">
        <v>46071</v>
      </c>
      <c r="E689" s="1" t="n">
        <v>46218</v>
      </c>
      <c r="F689" t="inlineStr">
        <is>
          <t>KRONOBERGS LÄN</t>
        </is>
      </c>
      <c r="G689" t="inlineStr">
        <is>
          <t>UPPVIDINGE</t>
        </is>
      </c>
      <c r="I689" t="n">
        <v>22.6</v>
      </c>
      <c r="J689" t="n">
        <v>0</v>
      </c>
      <c r="K689" t="n">
        <v>0</v>
      </c>
      <c r="L689" t="n">
        <v>0</v>
      </c>
      <c r="M689" t="n">
        <v>0</v>
      </c>
      <c r="N689" t="n">
        <v>0</v>
      </c>
      <c r="O689" t="n">
        <v>0</v>
      </c>
      <c r="P689" t="n">
        <v>0</v>
      </c>
      <c r="Q689" t="n">
        <v>0</v>
      </c>
      <c r="R689" t="n">
        <v>0</v>
      </c>
      <c r="S689" t="n">
        <v>0</v>
      </c>
      <c r="T689" t="n">
        <v>0</v>
      </c>
      <c r="U689" s="2" t="inlineStr"/>
    </row>
    <row r="690" ht="15" customHeight="1">
      <c r="A690" t="inlineStr">
        <is>
          <t>A 9489-2026</t>
        </is>
      </c>
      <c r="B690" t="inlineStr">
        <is>
          <t>avverkningsanmälan</t>
        </is>
      </c>
      <c r="C690" t="inlineStr">
        <is>
          <t>Föryngringsavverkning</t>
        </is>
      </c>
      <c r="D690" s="1" t="n">
        <v>46071</v>
      </c>
      <c r="E690" s="1" t="n">
        <v>46218</v>
      </c>
      <c r="F690" t="inlineStr">
        <is>
          <t>KRONOBERGS LÄN</t>
        </is>
      </c>
      <c r="G690" t="inlineStr">
        <is>
          <t>UPPVIDINGE</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9535-2026</t>
        </is>
      </c>
      <c r="B691" t="inlineStr">
        <is>
          <t>avverkningsanmälan</t>
        </is>
      </c>
      <c r="C691" t="inlineStr">
        <is>
          <t>Föryngringsavverkning</t>
        </is>
      </c>
      <c r="D691" s="1" t="n">
        <v>46071</v>
      </c>
      <c r="E691" s="1" t="n">
        <v>46218</v>
      </c>
      <c r="F691" t="inlineStr">
        <is>
          <t>KRONOBERGS LÄN</t>
        </is>
      </c>
      <c r="G691" t="inlineStr">
        <is>
          <t>UPPVIDINGE</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9532-2026</t>
        </is>
      </c>
      <c r="B692" t="inlineStr">
        <is>
          <t>avverkningsanmälan</t>
        </is>
      </c>
      <c r="C692" t="inlineStr">
        <is>
          <t>Föryngringsavverkning</t>
        </is>
      </c>
      <c r="D692" s="1" t="n">
        <v>46071</v>
      </c>
      <c r="E692" s="1" t="n">
        <v>46218</v>
      </c>
      <c r="F692" t="inlineStr">
        <is>
          <t>KRONOBERGS LÄN</t>
        </is>
      </c>
      <c r="G692" t="inlineStr">
        <is>
          <t>UPPVIDINGE</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30423-2026</t>
        </is>
      </c>
      <c r="B693" t="inlineStr">
        <is>
          <t>avverkningsanmälan</t>
        </is>
      </c>
      <c r="C693" t="inlineStr">
        <is>
          <t>Föryngringsavverkning</t>
        </is>
      </c>
      <c r="D693" s="1" t="n">
        <v>46209</v>
      </c>
      <c r="E693" s="1" t="n">
        <v>46218</v>
      </c>
      <c r="F693" t="inlineStr">
        <is>
          <t>KRONOBERGS LÄN</t>
        </is>
      </c>
      <c r="G693" t="inlineStr">
        <is>
          <t>UPPVIDINGE</t>
        </is>
      </c>
      <c r="I693" t="n">
        <v>3.8</v>
      </c>
      <c r="J693" t="n">
        <v>0</v>
      </c>
      <c r="K693" t="n">
        <v>0</v>
      </c>
      <c r="L693" t="n">
        <v>0</v>
      </c>
      <c r="M693" t="n">
        <v>0</v>
      </c>
      <c r="N693" t="n">
        <v>0</v>
      </c>
      <c r="O693" t="n">
        <v>0</v>
      </c>
      <c r="P693" t="n">
        <v>0</v>
      </c>
      <c r="Q693" t="n">
        <v>0</v>
      </c>
      <c r="R693" t="n">
        <v>0</v>
      </c>
      <c r="S693" t="n">
        <v>0</v>
      </c>
      <c r="T693" t="n">
        <v>0</v>
      </c>
      <c r="U693" s="2" t="inlineStr"/>
    </row>
    <row r="694" ht="15" customHeight="1">
      <c r="A694" t="inlineStr">
        <is>
          <t>A 30685-2026</t>
        </is>
      </c>
      <c r="B694" t="inlineStr">
        <is>
          <t>avverkningsanmälan</t>
        </is>
      </c>
      <c r="C694" t="inlineStr">
        <is>
          <t>Föryngringsavverkning</t>
        </is>
      </c>
      <c r="D694" s="1" t="n">
        <v>46205</v>
      </c>
      <c r="E694" s="1" t="n">
        <v>46218</v>
      </c>
      <c r="F694" t="inlineStr">
        <is>
          <t>KRONOBERGS LÄN</t>
        </is>
      </c>
      <c r="G694" t="inlineStr">
        <is>
          <t>UPPVIDINGE</t>
        </is>
      </c>
      <c r="H694" t="inlineStr">
        <is>
          <t>Kommuner</t>
        </is>
      </c>
      <c r="I694" t="n">
        <v>8</v>
      </c>
      <c r="J694" t="n">
        <v>0</v>
      </c>
      <c r="K694" t="n">
        <v>0</v>
      </c>
      <c r="L694" t="n">
        <v>0</v>
      </c>
      <c r="M694" t="n">
        <v>0</v>
      </c>
      <c r="N694" t="n">
        <v>0</v>
      </c>
      <c r="O694" t="n">
        <v>0</v>
      </c>
      <c r="P694" t="n">
        <v>0</v>
      </c>
      <c r="Q694" t="n">
        <v>0</v>
      </c>
      <c r="R694" t="n">
        <v>0</v>
      </c>
      <c r="S694" t="n">
        <v>0</v>
      </c>
      <c r="T694" t="n">
        <v>0</v>
      </c>
      <c r="U694" s="2" t="inlineStr"/>
    </row>
    <row r="695" ht="15" customHeight="1">
      <c r="A695" t="inlineStr">
        <is>
          <t>A 30691-2026</t>
        </is>
      </c>
      <c r="B695" t="inlineStr">
        <is>
          <t>avverkningsanmälan</t>
        </is>
      </c>
      <c r="C695" t="inlineStr">
        <is>
          <t>Föryngringsavverkning</t>
        </is>
      </c>
      <c r="D695" s="1" t="n">
        <v>46205</v>
      </c>
      <c r="E695" s="1" t="n">
        <v>46218</v>
      </c>
      <c r="F695" t="inlineStr">
        <is>
          <t>KRONOBERGS LÄN</t>
        </is>
      </c>
      <c r="G695" t="inlineStr">
        <is>
          <t>UPPVIDINGE</t>
        </is>
      </c>
      <c r="H695" t="inlineStr">
        <is>
          <t>Kommuner</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30608-2026</t>
        </is>
      </c>
      <c r="B696" t="inlineStr">
        <is>
          <t>avverkningsanmälan</t>
        </is>
      </c>
      <c r="C696" t="inlineStr">
        <is>
          <t>Föryngringsavverkning</t>
        </is>
      </c>
      <c r="D696" s="1" t="n">
        <v>46210</v>
      </c>
      <c r="E696" s="1" t="n">
        <v>46218</v>
      </c>
      <c r="F696" t="inlineStr">
        <is>
          <t>KRONOBERGS LÄN</t>
        </is>
      </c>
      <c r="G696" t="inlineStr">
        <is>
          <t>UPPVIDINGE</t>
        </is>
      </c>
      <c r="I696" t="n">
        <v>4.5</v>
      </c>
      <c r="J696" t="n">
        <v>0</v>
      </c>
      <c r="K696" t="n">
        <v>0</v>
      </c>
      <c r="L696" t="n">
        <v>0</v>
      </c>
      <c r="M696" t="n">
        <v>0</v>
      </c>
      <c r="N696" t="n">
        <v>0</v>
      </c>
      <c r="O696" t="n">
        <v>0</v>
      </c>
      <c r="P696" t="n">
        <v>0</v>
      </c>
      <c r="Q696" t="n">
        <v>0</v>
      </c>
      <c r="R696" t="n">
        <v>0</v>
      </c>
      <c r="S696" t="n">
        <v>0</v>
      </c>
      <c r="T696" t="n">
        <v>0</v>
      </c>
      <c r="U696" s="2" t="inlineStr"/>
    </row>
    <row r="697" ht="15" customHeight="1">
      <c r="A697" t="inlineStr">
        <is>
          <t>A 30701-2026</t>
        </is>
      </c>
      <c r="B697" t="inlineStr">
        <is>
          <t>avverkningsanmälan</t>
        </is>
      </c>
      <c r="C697" t="inlineStr">
        <is>
          <t>Föryngringsavverkning</t>
        </is>
      </c>
      <c r="D697" s="1" t="n">
        <v>46205</v>
      </c>
      <c r="E697" s="1" t="n">
        <v>46218</v>
      </c>
      <c r="F697" t="inlineStr">
        <is>
          <t>KRONOBERGS LÄN</t>
        </is>
      </c>
      <c r="G697" t="inlineStr">
        <is>
          <t>UPPVIDINGE</t>
        </is>
      </c>
      <c r="H697" t="inlineStr">
        <is>
          <t>Kommuner</t>
        </is>
      </c>
      <c r="I697" t="n">
        <v>6.4</v>
      </c>
      <c r="J697" t="n">
        <v>0</v>
      </c>
      <c r="K697" t="n">
        <v>0</v>
      </c>
      <c r="L697" t="n">
        <v>0</v>
      </c>
      <c r="M697" t="n">
        <v>0</v>
      </c>
      <c r="N697" t="n">
        <v>0</v>
      </c>
      <c r="O697" t="n">
        <v>0</v>
      </c>
      <c r="P697" t="n">
        <v>0</v>
      </c>
      <c r="Q697" t="n">
        <v>0</v>
      </c>
      <c r="R697" t="n">
        <v>0</v>
      </c>
      <c r="S697" t="n">
        <v>0</v>
      </c>
      <c r="T697" t="n">
        <v>0</v>
      </c>
      <c r="U697" s="2" t="inlineStr"/>
    </row>
    <row r="698" ht="15" customHeight="1">
      <c r="A698" t="inlineStr">
        <is>
          <t>A 30719-2026</t>
        </is>
      </c>
      <c r="B698" t="inlineStr">
        <is>
          <t>avverkningsanmälan</t>
        </is>
      </c>
      <c r="C698" t="inlineStr">
        <is>
          <t>Föryngringsavverkning</t>
        </is>
      </c>
      <c r="D698" s="1" t="n">
        <v>46205</v>
      </c>
      <c r="E698" s="1" t="n">
        <v>46218</v>
      </c>
      <c r="F698" t="inlineStr">
        <is>
          <t>KRONOBERGS LÄN</t>
        </is>
      </c>
      <c r="G698" t="inlineStr">
        <is>
          <t>UPPVIDINGE</t>
        </is>
      </c>
      <c r="H698" t="inlineStr">
        <is>
          <t>Kommuner</t>
        </is>
      </c>
      <c r="I698" t="n">
        <v>4.3</v>
      </c>
      <c r="J698" t="n">
        <v>0</v>
      </c>
      <c r="K698" t="n">
        <v>0</v>
      </c>
      <c r="L698" t="n">
        <v>0</v>
      </c>
      <c r="M698" t="n">
        <v>0</v>
      </c>
      <c r="N698" t="n">
        <v>0</v>
      </c>
      <c r="O698" t="n">
        <v>0</v>
      </c>
      <c r="P698" t="n">
        <v>0</v>
      </c>
      <c r="Q698" t="n">
        <v>0</v>
      </c>
      <c r="R698" t="n">
        <v>0</v>
      </c>
      <c r="S698" t="n">
        <v>0</v>
      </c>
      <c r="T698" t="n">
        <v>0</v>
      </c>
      <c r="U698" s="2" t="inlineStr"/>
    </row>
    <row r="699" ht="15" customHeight="1">
      <c r="A699" t="inlineStr">
        <is>
          <t>A 24407-2026</t>
        </is>
      </c>
      <c r="B699" t="inlineStr">
        <is>
          <t>avverkningsanmälan</t>
        </is>
      </c>
      <c r="C699" t="inlineStr">
        <is>
          <t>Föryngringsavverkning</t>
        </is>
      </c>
      <c r="D699" s="1" t="n">
        <v>46169</v>
      </c>
      <c r="E699" s="1" t="n">
        <v>46218</v>
      </c>
      <c r="F699" t="inlineStr">
        <is>
          <t>KRONOBERGS LÄN</t>
        </is>
      </c>
      <c r="G699" t="inlineStr">
        <is>
          <t>UPPVIDINGE</t>
        </is>
      </c>
      <c r="I699" t="n">
        <v>6</v>
      </c>
      <c r="J699" t="n">
        <v>0</v>
      </c>
      <c r="K699" t="n">
        <v>0</v>
      </c>
      <c r="L699" t="n">
        <v>0</v>
      </c>
      <c r="M699" t="n">
        <v>0</v>
      </c>
      <c r="N699" t="n">
        <v>0</v>
      </c>
      <c r="O699" t="n">
        <v>0</v>
      </c>
      <c r="P699" t="n">
        <v>0</v>
      </c>
      <c r="Q699" t="n">
        <v>0</v>
      </c>
      <c r="R699" t="n">
        <v>0</v>
      </c>
      <c r="S699" t="n">
        <v>0</v>
      </c>
      <c r="T699" t="n">
        <v>0</v>
      </c>
      <c r="U699" s="2" t="inlineStr"/>
    </row>
    <row r="700" ht="15" customHeight="1">
      <c r="A700" t="inlineStr">
        <is>
          <t>A 30726-2026</t>
        </is>
      </c>
      <c r="B700" t="inlineStr">
        <is>
          <t>avverkningsanmälan</t>
        </is>
      </c>
      <c r="C700" t="inlineStr">
        <is>
          <t>Föryngringsavverkning</t>
        </is>
      </c>
      <c r="D700" s="1" t="n">
        <v>46205</v>
      </c>
      <c r="E700" s="1" t="n">
        <v>46218</v>
      </c>
      <c r="F700" t="inlineStr">
        <is>
          <t>KRONOBERGS LÄN</t>
        </is>
      </c>
      <c r="G700" t="inlineStr">
        <is>
          <t>UPPVIDINGE</t>
        </is>
      </c>
      <c r="H700" t="inlineStr">
        <is>
          <t>Kommuner</t>
        </is>
      </c>
      <c r="I700" t="n">
        <v>4.3</v>
      </c>
      <c r="J700" t="n">
        <v>0</v>
      </c>
      <c r="K700" t="n">
        <v>0</v>
      </c>
      <c r="L700" t="n">
        <v>0</v>
      </c>
      <c r="M700" t="n">
        <v>0</v>
      </c>
      <c r="N700" t="n">
        <v>0</v>
      </c>
      <c r="O700" t="n">
        <v>0</v>
      </c>
      <c r="P700" t="n">
        <v>0</v>
      </c>
      <c r="Q700" t="n">
        <v>0</v>
      </c>
      <c r="R700" t="n">
        <v>0</v>
      </c>
      <c r="S700" t="n">
        <v>0</v>
      </c>
      <c r="T700" t="n">
        <v>0</v>
      </c>
      <c r="U700" s="2" t="inlineStr"/>
    </row>
    <row r="701" ht="15" customHeight="1">
      <c r="A701" t="inlineStr">
        <is>
          <t>A 30722-2026</t>
        </is>
      </c>
      <c r="B701" t="inlineStr">
        <is>
          <t>avverkningsanmälan</t>
        </is>
      </c>
      <c r="C701" t="inlineStr">
        <is>
          <t>Föryngringsavverkning</t>
        </is>
      </c>
      <c r="D701" s="1" t="n">
        <v>46205</v>
      </c>
      <c r="E701" s="1" t="n">
        <v>46218</v>
      </c>
      <c r="F701" t="inlineStr">
        <is>
          <t>KRONOBERGS LÄN</t>
        </is>
      </c>
      <c r="G701" t="inlineStr">
        <is>
          <t>UPPVIDINGE</t>
        </is>
      </c>
      <c r="H701" t="inlineStr">
        <is>
          <t>Kommuner</t>
        </is>
      </c>
      <c r="I701" t="n">
        <v>3.2</v>
      </c>
      <c r="J701" t="n">
        <v>0</v>
      </c>
      <c r="K701" t="n">
        <v>0</v>
      </c>
      <c r="L701" t="n">
        <v>0</v>
      </c>
      <c r="M701" t="n">
        <v>0</v>
      </c>
      <c r="N701" t="n">
        <v>0</v>
      </c>
      <c r="O701" t="n">
        <v>0</v>
      </c>
      <c r="P701" t="n">
        <v>0</v>
      </c>
      <c r="Q701" t="n">
        <v>0</v>
      </c>
      <c r="R701" t="n">
        <v>0</v>
      </c>
      <c r="S701" t="n">
        <v>0</v>
      </c>
      <c r="T701" t="n">
        <v>0</v>
      </c>
      <c r="U701" s="2" t="inlineStr"/>
    </row>
    <row r="702" ht="15" customHeight="1">
      <c r="A702" t="inlineStr">
        <is>
          <t>A 15486-2026</t>
        </is>
      </c>
      <c r="B702" t="inlineStr">
        <is>
          <t>avverkningsanmälan</t>
        </is>
      </c>
      <c r="C702" t="inlineStr">
        <is>
          <t>Föryngringsavverkning</t>
        </is>
      </c>
      <c r="D702" s="1" t="n">
        <v>46106</v>
      </c>
      <c r="E702" s="1" t="n">
        <v>46218</v>
      </c>
      <c r="F702" t="inlineStr">
        <is>
          <t>KRONOBERGS LÄN</t>
        </is>
      </c>
      <c r="G702" t="inlineStr">
        <is>
          <t>UPPVIDINGE</t>
        </is>
      </c>
      <c r="H702" t="inlineStr">
        <is>
          <t>Sveaskog</t>
        </is>
      </c>
      <c r="I702" t="n">
        <v>4.9</v>
      </c>
      <c r="J702" t="n">
        <v>0</v>
      </c>
      <c r="K702" t="n">
        <v>0</v>
      </c>
      <c r="L702" t="n">
        <v>0</v>
      </c>
      <c r="M702" t="n">
        <v>0</v>
      </c>
      <c r="N702" t="n">
        <v>0</v>
      </c>
      <c r="O702" t="n">
        <v>0</v>
      </c>
      <c r="P702" t="n">
        <v>0</v>
      </c>
      <c r="Q702" t="n">
        <v>0</v>
      </c>
      <c r="R702" t="n">
        <v>0</v>
      </c>
      <c r="S702" t="n">
        <v>0</v>
      </c>
      <c r="T702" t="n">
        <v>0</v>
      </c>
      <c r="U702" s="2" t="inlineStr"/>
    </row>
    <row r="703" ht="15" customHeight="1">
      <c r="A703" t="inlineStr">
        <is>
          <t>A 15481-2026</t>
        </is>
      </c>
      <c r="B703" t="inlineStr">
        <is>
          <t>avverkningsanmälan</t>
        </is>
      </c>
      <c r="C703" t="inlineStr">
        <is>
          <t>Föryngringsavverkning</t>
        </is>
      </c>
      <c r="D703" s="1" t="n">
        <v>46106</v>
      </c>
      <c r="E703" s="1" t="n">
        <v>46218</v>
      </c>
      <c r="F703" t="inlineStr">
        <is>
          <t>KRONOBERGS LÄN</t>
        </is>
      </c>
      <c r="G703" t="inlineStr">
        <is>
          <t>UPPVIDINGE</t>
        </is>
      </c>
      <c r="H703" t="inlineStr">
        <is>
          <t>Sveaskog</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12075-2026</t>
        </is>
      </c>
      <c r="B704" t="inlineStr">
        <is>
          <t>avverkningsanmälan</t>
        </is>
      </c>
      <c r="C704" t="inlineStr">
        <is>
          <t>Föryngringsavverkning</t>
        </is>
      </c>
      <c r="D704" s="1" t="n">
        <v>46086</v>
      </c>
      <c r="E704" s="1" t="n">
        <v>46218</v>
      </c>
      <c r="F704" t="inlineStr">
        <is>
          <t>KRONOBERGS LÄN</t>
        </is>
      </c>
      <c r="G704" t="inlineStr">
        <is>
          <t>UPPVIDINGE</t>
        </is>
      </c>
      <c r="I704" t="n">
        <v>7.9</v>
      </c>
      <c r="J704" t="n">
        <v>0</v>
      </c>
      <c r="K704" t="n">
        <v>0</v>
      </c>
      <c r="L704" t="n">
        <v>0</v>
      </c>
      <c r="M704" t="n">
        <v>0</v>
      </c>
      <c r="N704" t="n">
        <v>0</v>
      </c>
      <c r="O704" t="n">
        <v>0</v>
      </c>
      <c r="P704" t="n">
        <v>0</v>
      </c>
      <c r="Q704" t="n">
        <v>0</v>
      </c>
      <c r="R704" t="n">
        <v>0</v>
      </c>
      <c r="S704" t="n">
        <v>0</v>
      </c>
      <c r="T704" t="n">
        <v>0</v>
      </c>
      <c r="U704" s="2" t="inlineStr"/>
    </row>
    <row r="705" ht="15" customHeight="1">
      <c r="A705" t="inlineStr">
        <is>
          <t>A 30258-2026</t>
        </is>
      </c>
      <c r="B705" t="inlineStr">
        <is>
          <t>avverkningsanmälan</t>
        </is>
      </c>
      <c r="C705" t="inlineStr">
        <is>
          <t>Föryngringsavverkning</t>
        </is>
      </c>
      <c r="D705" s="1" t="n">
        <v>46206</v>
      </c>
      <c r="E705" s="1" t="n">
        <v>46218</v>
      </c>
      <c r="F705" t="inlineStr">
        <is>
          <t>KRONOBERGS LÄN</t>
        </is>
      </c>
      <c r="G705" t="inlineStr">
        <is>
          <t>UPPVIDINGE</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25001-2026</t>
        </is>
      </c>
      <c r="B706" t="inlineStr">
        <is>
          <t>avverkningsanmälan</t>
        </is>
      </c>
      <c r="C706" t="inlineStr">
        <is>
          <t>Föryngringsavverkning</t>
        </is>
      </c>
      <c r="D706" s="1" t="n">
        <v>46174</v>
      </c>
      <c r="E706" s="1" t="n">
        <v>46218</v>
      </c>
      <c r="F706" t="inlineStr">
        <is>
          <t>KRONOBERGS LÄN</t>
        </is>
      </c>
      <c r="G706" t="inlineStr">
        <is>
          <t>UPPVIDINGE</t>
        </is>
      </c>
      <c r="H706" t="inlineStr">
        <is>
          <t>Sveaskog</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25009-2026</t>
        </is>
      </c>
      <c r="B707" t="inlineStr">
        <is>
          <t>avverkningsanmälan</t>
        </is>
      </c>
      <c r="C707" t="inlineStr">
        <is>
          <t>Föryngringsavverkning</t>
        </is>
      </c>
      <c r="D707" s="1" t="n">
        <v>46174</v>
      </c>
      <c r="E707" s="1" t="n">
        <v>46218</v>
      </c>
      <c r="F707" t="inlineStr">
        <is>
          <t>KRONOBERGS LÄN</t>
        </is>
      </c>
      <c r="G707" t="inlineStr">
        <is>
          <t>UPPVIDINGE</t>
        </is>
      </c>
      <c r="H707" t="inlineStr">
        <is>
          <t>Sveaskog</t>
        </is>
      </c>
      <c r="I707" t="n">
        <v>3</v>
      </c>
      <c r="J707" t="n">
        <v>0</v>
      </c>
      <c r="K707" t="n">
        <v>0</v>
      </c>
      <c r="L707" t="n">
        <v>0</v>
      </c>
      <c r="M707" t="n">
        <v>0</v>
      </c>
      <c r="N707" t="n">
        <v>0</v>
      </c>
      <c r="O707" t="n">
        <v>0</v>
      </c>
      <c r="P707" t="n">
        <v>0</v>
      </c>
      <c r="Q707" t="n">
        <v>0</v>
      </c>
      <c r="R707" t="n">
        <v>0</v>
      </c>
      <c r="S707" t="n">
        <v>0</v>
      </c>
      <c r="T707" t="n">
        <v>0</v>
      </c>
      <c r="U707" s="2" t="inlineStr"/>
    </row>
    <row r="708" ht="15" customHeight="1">
      <c r="A708" t="inlineStr">
        <is>
          <t>A 25013-2026</t>
        </is>
      </c>
      <c r="B708" t="inlineStr">
        <is>
          <t>avverkningsanmälan</t>
        </is>
      </c>
      <c r="C708" t="inlineStr">
        <is>
          <t>Föryngringsavverkning</t>
        </is>
      </c>
      <c r="D708" s="1" t="n">
        <v>46174</v>
      </c>
      <c r="E708" s="1" t="n">
        <v>46218</v>
      </c>
      <c r="F708" t="inlineStr">
        <is>
          <t>KRONOBERGS LÄN</t>
        </is>
      </c>
      <c r="G708" t="inlineStr">
        <is>
          <t>UPPVIDINGE</t>
        </is>
      </c>
      <c r="H708" t="inlineStr">
        <is>
          <t>Sveaskog</t>
        </is>
      </c>
      <c r="I708" t="n">
        <v>2.7</v>
      </c>
      <c r="J708" t="n">
        <v>0</v>
      </c>
      <c r="K708" t="n">
        <v>0</v>
      </c>
      <c r="L708" t="n">
        <v>0</v>
      </c>
      <c r="M708" t="n">
        <v>0</v>
      </c>
      <c r="N708" t="n">
        <v>0</v>
      </c>
      <c r="O708" t="n">
        <v>0</v>
      </c>
      <c r="P708" t="n">
        <v>0</v>
      </c>
      <c r="Q708" t="n">
        <v>0</v>
      </c>
      <c r="R708" t="n">
        <v>0</v>
      </c>
      <c r="S708" t="n">
        <v>0</v>
      </c>
      <c r="T708" t="n">
        <v>0</v>
      </c>
      <c r="U708" s="2" t="inlineStr"/>
    </row>
    <row r="709" ht="15" customHeight="1">
      <c r="A709" t="inlineStr">
        <is>
          <t>A 25014-2026</t>
        </is>
      </c>
      <c r="B709" t="inlineStr">
        <is>
          <t>avverkningsanmälan</t>
        </is>
      </c>
      <c r="C709" t="inlineStr">
        <is>
          <t>Föryngringsavverkning</t>
        </is>
      </c>
      <c r="D709" s="1" t="n">
        <v>46174</v>
      </c>
      <c r="E709" s="1" t="n">
        <v>46218</v>
      </c>
      <c r="F709" t="inlineStr">
        <is>
          <t>KRONOBERGS LÄN</t>
        </is>
      </c>
      <c r="G709" t="inlineStr">
        <is>
          <t>UPPVIDINGE</t>
        </is>
      </c>
      <c r="H709" t="inlineStr">
        <is>
          <t>Sveaskog</t>
        </is>
      </c>
      <c r="I709" t="n">
        <v>3.1</v>
      </c>
      <c r="J709" t="n">
        <v>0</v>
      </c>
      <c r="K709" t="n">
        <v>0</v>
      </c>
      <c r="L709" t="n">
        <v>0</v>
      </c>
      <c r="M709" t="n">
        <v>0</v>
      </c>
      <c r="N709" t="n">
        <v>0</v>
      </c>
      <c r="O709" t="n">
        <v>0</v>
      </c>
      <c r="P709" t="n">
        <v>0</v>
      </c>
      <c r="Q709" t="n">
        <v>0</v>
      </c>
      <c r="R709" t="n">
        <v>0</v>
      </c>
      <c r="S709" t="n">
        <v>0</v>
      </c>
      <c r="T709" t="n">
        <v>0</v>
      </c>
      <c r="U709" s="2" t="inlineStr"/>
    </row>
    <row r="710" ht="15" customHeight="1">
      <c r="A710" t="inlineStr">
        <is>
          <t>A 13176-2026</t>
        </is>
      </c>
      <c r="B710" t="inlineStr">
        <is>
          <t>avverkningsanmälan</t>
        </is>
      </c>
      <c r="C710" t="inlineStr">
        <is>
          <t>Föryngringsavverkning</t>
        </is>
      </c>
      <c r="D710" s="1" t="n">
        <v>46093</v>
      </c>
      <c r="E710" s="1" t="n">
        <v>46218</v>
      </c>
      <c r="F710" t="inlineStr">
        <is>
          <t>KRONOBERGS LÄN</t>
        </is>
      </c>
      <c r="G710" t="inlineStr">
        <is>
          <t>UPPVIDINGE</t>
        </is>
      </c>
      <c r="H710" t="inlineStr">
        <is>
          <t>Sveaskog</t>
        </is>
      </c>
      <c r="I710" t="n">
        <v>5.2</v>
      </c>
      <c r="J710" t="n">
        <v>0</v>
      </c>
      <c r="K710" t="n">
        <v>0</v>
      </c>
      <c r="L710" t="n">
        <v>0</v>
      </c>
      <c r="M710" t="n">
        <v>0</v>
      </c>
      <c r="N710" t="n">
        <v>0</v>
      </c>
      <c r="O710" t="n">
        <v>0</v>
      </c>
      <c r="P710" t="n">
        <v>0</v>
      </c>
      <c r="Q710" t="n">
        <v>0</v>
      </c>
      <c r="R710" t="n">
        <v>0</v>
      </c>
      <c r="S710" t="n">
        <v>0</v>
      </c>
      <c r="T710" t="n">
        <v>0</v>
      </c>
      <c r="U710" s="2" t="inlineStr"/>
    </row>
    <row r="711" ht="15" customHeight="1">
      <c r="A711" t="inlineStr">
        <is>
          <t>A 13180-2026</t>
        </is>
      </c>
      <c r="B711" t="inlineStr">
        <is>
          <t>avverkningsanmälan</t>
        </is>
      </c>
      <c r="C711" t="inlineStr">
        <is>
          <t>Föryngringsavverkning</t>
        </is>
      </c>
      <c r="D711" s="1" t="n">
        <v>46093</v>
      </c>
      <c r="E711" s="1" t="n">
        <v>46218</v>
      </c>
      <c r="F711" t="inlineStr">
        <is>
          <t>KRONOBERGS LÄN</t>
        </is>
      </c>
      <c r="G711" t="inlineStr">
        <is>
          <t>UPPVIDINGE</t>
        </is>
      </c>
      <c r="H711" t="inlineStr">
        <is>
          <t>Sveaskog</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13224-2026</t>
        </is>
      </c>
      <c r="B712" t="inlineStr">
        <is>
          <t>avverkningsanmälan</t>
        </is>
      </c>
      <c r="C712" t="inlineStr">
        <is>
          <t>Föryngringsavverkning</t>
        </is>
      </c>
      <c r="D712" s="1" t="n">
        <v>46093</v>
      </c>
      <c r="E712" s="1" t="n">
        <v>46218</v>
      </c>
      <c r="F712" t="inlineStr">
        <is>
          <t>KRONOBERGS LÄN</t>
        </is>
      </c>
      <c r="G712" t="inlineStr">
        <is>
          <t>UPPVIDINGE</t>
        </is>
      </c>
      <c r="H712" t="inlineStr">
        <is>
          <t>Sveaskog</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13227-2026</t>
        </is>
      </c>
      <c r="B713" t="inlineStr">
        <is>
          <t>avverkningsanmälan</t>
        </is>
      </c>
      <c r="C713" t="inlineStr">
        <is>
          <t>Föryngringsavverkning</t>
        </is>
      </c>
      <c r="D713" s="1" t="n">
        <v>46093</v>
      </c>
      <c r="E713" s="1" t="n">
        <v>46218</v>
      </c>
      <c r="F713" t="inlineStr">
        <is>
          <t>KRONOBERGS LÄN</t>
        </is>
      </c>
      <c r="G713" t="inlineStr">
        <is>
          <t>UPPVIDINGE</t>
        </is>
      </c>
      <c r="H713" t="inlineStr">
        <is>
          <t>Sveaskog</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25015-2026</t>
        </is>
      </c>
      <c r="B714" t="inlineStr">
        <is>
          <t>avverkningsanmälan</t>
        </is>
      </c>
      <c r="C714" t="inlineStr">
        <is>
          <t>Föryngringsavverkning</t>
        </is>
      </c>
      <c r="D714" s="1" t="n">
        <v>46174</v>
      </c>
      <c r="E714" s="1" t="n">
        <v>46218</v>
      </c>
      <c r="F714" t="inlineStr">
        <is>
          <t>KRONOBERGS LÄN</t>
        </is>
      </c>
      <c r="G714" t="inlineStr">
        <is>
          <t>UPPVIDINGE</t>
        </is>
      </c>
      <c r="H714" t="inlineStr">
        <is>
          <t>Sveaskog</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25008-2026</t>
        </is>
      </c>
      <c r="B715" t="inlineStr">
        <is>
          <t>avverkningsanmälan</t>
        </is>
      </c>
      <c r="C715" t="inlineStr">
        <is>
          <t>Föryngringsavverkning</t>
        </is>
      </c>
      <c r="D715" s="1" t="n">
        <v>46174</v>
      </c>
      <c r="E715" s="1" t="n">
        <v>46218</v>
      </c>
      <c r="F715" t="inlineStr">
        <is>
          <t>KRONOBERGS LÄN</t>
        </is>
      </c>
      <c r="G715" t="inlineStr">
        <is>
          <t>UPPVIDINGE</t>
        </is>
      </c>
      <c r="H715" t="inlineStr">
        <is>
          <t>Sveaskog</t>
        </is>
      </c>
      <c r="I715" t="n">
        <v>2.9</v>
      </c>
      <c r="J715" t="n">
        <v>0</v>
      </c>
      <c r="K715" t="n">
        <v>0</v>
      </c>
      <c r="L715" t="n">
        <v>0</v>
      </c>
      <c r="M715" t="n">
        <v>0</v>
      </c>
      <c r="N715" t="n">
        <v>0</v>
      </c>
      <c r="O715" t="n">
        <v>0</v>
      </c>
      <c r="P715" t="n">
        <v>0</v>
      </c>
      <c r="Q715" t="n">
        <v>0</v>
      </c>
      <c r="R715" t="n">
        <v>0</v>
      </c>
      <c r="S715" t="n">
        <v>0</v>
      </c>
      <c r="T715" t="n">
        <v>0</v>
      </c>
      <c r="U715" s="2" t="inlineStr"/>
    </row>
    <row r="716" ht="15" customHeight="1">
      <c r="A716" t="inlineStr">
        <is>
          <t>A 13174-2026</t>
        </is>
      </c>
      <c r="B716" t="inlineStr">
        <is>
          <t>avverkningsanmälan</t>
        </is>
      </c>
      <c r="C716" t="inlineStr">
        <is>
          <t>Föryngringsavverkning</t>
        </is>
      </c>
      <c r="D716" s="1" t="n">
        <v>46093</v>
      </c>
      <c r="E716" s="1" t="n">
        <v>46218</v>
      </c>
      <c r="F716" t="inlineStr">
        <is>
          <t>KRONOBERGS LÄN</t>
        </is>
      </c>
      <c r="G716" t="inlineStr">
        <is>
          <t>UPPVIDINGE</t>
        </is>
      </c>
      <c r="H716" t="inlineStr">
        <is>
          <t>Sveaskog</t>
        </is>
      </c>
      <c r="I716" t="n">
        <v>5</v>
      </c>
      <c r="J716" t="n">
        <v>0</v>
      </c>
      <c r="K716" t="n">
        <v>0</v>
      </c>
      <c r="L716" t="n">
        <v>0</v>
      </c>
      <c r="M716" t="n">
        <v>0</v>
      </c>
      <c r="N716" t="n">
        <v>0</v>
      </c>
      <c r="O716" t="n">
        <v>0</v>
      </c>
      <c r="P716" t="n">
        <v>0</v>
      </c>
      <c r="Q716" t="n">
        <v>0</v>
      </c>
      <c r="R716" t="n">
        <v>0</v>
      </c>
      <c r="S716" t="n">
        <v>0</v>
      </c>
      <c r="T716" t="n">
        <v>0</v>
      </c>
      <c r="U716" s="2" t="inlineStr"/>
    </row>
    <row r="717" ht="15" customHeight="1">
      <c r="A717" t="inlineStr">
        <is>
          <t>A 13175-2026</t>
        </is>
      </c>
      <c r="B717" t="inlineStr">
        <is>
          <t>avverkningsanmälan</t>
        </is>
      </c>
      <c r="C717" t="inlineStr">
        <is>
          <t>Föryngringsavverkning</t>
        </is>
      </c>
      <c r="D717" s="1" t="n">
        <v>46093</v>
      </c>
      <c r="E717" s="1" t="n">
        <v>46218</v>
      </c>
      <c r="F717" t="inlineStr">
        <is>
          <t>KRONOBERGS LÄN</t>
        </is>
      </c>
      <c r="G717" t="inlineStr">
        <is>
          <t>UPPVIDINGE</t>
        </is>
      </c>
      <c r="H717" t="inlineStr">
        <is>
          <t>Sveaskog</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13225-2026</t>
        </is>
      </c>
      <c r="B718" t="inlineStr">
        <is>
          <t>avverkningsanmälan</t>
        </is>
      </c>
      <c r="C718" t="inlineStr">
        <is>
          <t>Föryngringsavverkning</t>
        </is>
      </c>
      <c r="D718" s="1" t="n">
        <v>46093</v>
      </c>
      <c r="E718" s="1" t="n">
        <v>46218</v>
      </c>
      <c r="F718" t="inlineStr">
        <is>
          <t>KRONOBERGS LÄN</t>
        </is>
      </c>
      <c r="G718" t="inlineStr">
        <is>
          <t>UPPVIDINGE</t>
        </is>
      </c>
      <c r="H718" t="inlineStr">
        <is>
          <t>Sveaskog</t>
        </is>
      </c>
      <c r="I718" t="n">
        <v>6</v>
      </c>
      <c r="J718" t="n">
        <v>0</v>
      </c>
      <c r="K718" t="n">
        <v>0</v>
      </c>
      <c r="L718" t="n">
        <v>0</v>
      </c>
      <c r="M718" t="n">
        <v>0</v>
      </c>
      <c r="N718" t="n">
        <v>0</v>
      </c>
      <c r="O718" t="n">
        <v>0</v>
      </c>
      <c r="P718" t="n">
        <v>0</v>
      </c>
      <c r="Q718" t="n">
        <v>0</v>
      </c>
      <c r="R718" t="n">
        <v>0</v>
      </c>
      <c r="S718" t="n">
        <v>0</v>
      </c>
      <c r="T718" t="n">
        <v>0</v>
      </c>
      <c r="U718" s="2" t="inlineStr"/>
    </row>
    <row r="719" ht="15" customHeight="1">
      <c r="A719" t="inlineStr">
        <is>
          <t>A 14582-2026</t>
        </is>
      </c>
      <c r="B719" t="inlineStr">
        <is>
          <t>avverkningsanmälan</t>
        </is>
      </c>
      <c r="C719" t="inlineStr">
        <is>
          <t>Föryngringsavverkning</t>
        </is>
      </c>
      <c r="D719" s="1" t="n">
        <v>46101</v>
      </c>
      <c r="E719" s="1" t="n">
        <v>46218</v>
      </c>
      <c r="F719" t="inlineStr">
        <is>
          <t>KRONOBERGS LÄN</t>
        </is>
      </c>
      <c r="G719" t="inlineStr">
        <is>
          <t>UPPVIDINGE</t>
        </is>
      </c>
      <c r="H719" t="inlineStr">
        <is>
          <t>Sveaskog</t>
        </is>
      </c>
      <c r="I719" t="n">
        <v>2.9</v>
      </c>
      <c r="J719" t="n">
        <v>0</v>
      </c>
      <c r="K719" t="n">
        <v>0</v>
      </c>
      <c r="L719" t="n">
        <v>0</v>
      </c>
      <c r="M719" t="n">
        <v>0</v>
      </c>
      <c r="N719" t="n">
        <v>0</v>
      </c>
      <c r="O719" t="n">
        <v>0</v>
      </c>
      <c r="P719" t="n">
        <v>0</v>
      </c>
      <c r="Q719" t="n">
        <v>0</v>
      </c>
      <c r="R719" t="n">
        <v>0</v>
      </c>
      <c r="S719" t="n">
        <v>0</v>
      </c>
      <c r="T719" t="n">
        <v>0</v>
      </c>
      <c r="U719" s="2" t="inlineStr"/>
    </row>
    <row r="720" ht="15" customHeight="1">
      <c r="A720" t="inlineStr">
        <is>
          <t>A 14585-2026</t>
        </is>
      </c>
      <c r="B720" t="inlineStr">
        <is>
          <t>avverkningsanmälan</t>
        </is>
      </c>
      <c r="C720" t="inlineStr">
        <is>
          <t>Föryngringsavverkning</t>
        </is>
      </c>
      <c r="D720" s="1" t="n">
        <v>46101</v>
      </c>
      <c r="E720" s="1" t="n">
        <v>46218</v>
      </c>
      <c r="F720" t="inlineStr">
        <is>
          <t>KRONOBERGS LÄN</t>
        </is>
      </c>
      <c r="G720" t="inlineStr">
        <is>
          <t>UPPVIDINGE</t>
        </is>
      </c>
      <c r="H720" t="inlineStr">
        <is>
          <t>Sveaskog</t>
        </is>
      </c>
      <c r="I720" t="n">
        <v>1.2</v>
      </c>
      <c r="J720" t="n">
        <v>0</v>
      </c>
      <c r="K720" t="n">
        <v>0</v>
      </c>
      <c r="L720" t="n">
        <v>0</v>
      </c>
      <c r="M720" t="n">
        <v>0</v>
      </c>
      <c r="N720" t="n">
        <v>0</v>
      </c>
      <c r="O720" t="n">
        <v>0</v>
      </c>
      <c r="P720" t="n">
        <v>0</v>
      </c>
      <c r="Q720" t="n">
        <v>0</v>
      </c>
      <c r="R720" t="n">
        <v>0</v>
      </c>
      <c r="S720" t="n">
        <v>0</v>
      </c>
      <c r="T720" t="n">
        <v>0</v>
      </c>
      <c r="U720" s="2" t="inlineStr"/>
    </row>
    <row r="721" ht="15" customHeight="1">
      <c r="A721" t="inlineStr">
        <is>
          <t>A 14584-2026</t>
        </is>
      </c>
      <c r="B721" t="inlineStr">
        <is>
          <t>avverkningsanmälan</t>
        </is>
      </c>
      <c r="C721" t="inlineStr">
        <is>
          <t>Föryngringsavverkning</t>
        </is>
      </c>
      <c r="D721" s="1" t="n">
        <v>46101</v>
      </c>
      <c r="E721" s="1" t="n">
        <v>46218</v>
      </c>
      <c r="F721" t="inlineStr">
        <is>
          <t>KRONOBERGS LÄN</t>
        </is>
      </c>
      <c r="G721" t="inlineStr">
        <is>
          <t>UPPVIDINGE</t>
        </is>
      </c>
      <c r="H721" t="inlineStr">
        <is>
          <t>Sveaskog</t>
        </is>
      </c>
      <c r="I721" t="n">
        <v>4.4</v>
      </c>
      <c r="J721" t="n">
        <v>0</v>
      </c>
      <c r="K721" t="n">
        <v>0</v>
      </c>
      <c r="L721" t="n">
        <v>0</v>
      </c>
      <c r="M721" t="n">
        <v>0</v>
      </c>
      <c r="N721" t="n">
        <v>0</v>
      </c>
      <c r="O721" t="n">
        <v>0</v>
      </c>
      <c r="P721" t="n">
        <v>0</v>
      </c>
      <c r="Q721" t="n">
        <v>0</v>
      </c>
      <c r="R721" t="n">
        <v>0</v>
      </c>
      <c r="S721" t="n">
        <v>0</v>
      </c>
      <c r="T721" t="n">
        <v>0</v>
      </c>
      <c r="U721" s="2" t="inlineStr"/>
    </row>
    <row r="722" ht="15" customHeight="1">
      <c r="A722" t="inlineStr">
        <is>
          <t>A 14581-2026</t>
        </is>
      </c>
      <c r="B722" t="inlineStr">
        <is>
          <t>avverkningsanmälan</t>
        </is>
      </c>
      <c r="C722" t="inlineStr">
        <is>
          <t>Föryngringsavverkning</t>
        </is>
      </c>
      <c r="D722" s="1" t="n">
        <v>46101</v>
      </c>
      <c r="E722" s="1" t="n">
        <v>46218</v>
      </c>
      <c r="F722" t="inlineStr">
        <is>
          <t>KRONOBERGS LÄN</t>
        </is>
      </c>
      <c r="G722" t="inlineStr">
        <is>
          <t>UPPVIDINGE</t>
        </is>
      </c>
      <c r="H722" t="inlineStr">
        <is>
          <t>Sveaskog</t>
        </is>
      </c>
      <c r="I722" t="n">
        <v>4.1</v>
      </c>
      <c r="J722" t="n">
        <v>0</v>
      </c>
      <c r="K722" t="n">
        <v>0</v>
      </c>
      <c r="L722" t="n">
        <v>0</v>
      </c>
      <c r="M722" t="n">
        <v>0</v>
      </c>
      <c r="N722" t="n">
        <v>0</v>
      </c>
      <c r="O722" t="n">
        <v>0</v>
      </c>
      <c r="P722" t="n">
        <v>0</v>
      </c>
      <c r="Q722" t="n">
        <v>0</v>
      </c>
      <c r="R722" t="n">
        <v>0</v>
      </c>
      <c r="S722" t="n">
        <v>0</v>
      </c>
      <c r="T722" t="n">
        <v>0</v>
      </c>
      <c r="U722" s="2" t="inlineStr"/>
    </row>
    <row r="723" ht="15" customHeight="1">
      <c r="A723" t="inlineStr">
        <is>
          <t>A 14587-2026</t>
        </is>
      </c>
      <c r="B723" t="inlineStr">
        <is>
          <t>avverkningsanmälan</t>
        </is>
      </c>
      <c r="C723" t="inlineStr">
        <is>
          <t>Föryngringsavverkning</t>
        </is>
      </c>
      <c r="D723" s="1" t="n">
        <v>46101</v>
      </c>
      <c r="E723" s="1" t="n">
        <v>46218</v>
      </c>
      <c r="F723" t="inlineStr">
        <is>
          <t>KRONOBERGS LÄN</t>
        </is>
      </c>
      <c r="G723" t="inlineStr">
        <is>
          <t>UPPVIDINGE</t>
        </is>
      </c>
      <c r="H723" t="inlineStr">
        <is>
          <t>Sveaskog</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15493-2026</t>
        </is>
      </c>
      <c r="B724" t="inlineStr">
        <is>
          <t>avverkningsanmälan</t>
        </is>
      </c>
      <c r="C724" t="inlineStr">
        <is>
          <t>Föryngringsavverkning</t>
        </is>
      </c>
      <c r="D724" s="1" t="n">
        <v>46106</v>
      </c>
      <c r="E724" s="1" t="n">
        <v>46218</v>
      </c>
      <c r="F724" t="inlineStr">
        <is>
          <t>KRONOBERGS LÄN</t>
        </is>
      </c>
      <c r="G724" t="inlineStr">
        <is>
          <t>UPPVIDINGE</t>
        </is>
      </c>
      <c r="H724" t="inlineStr">
        <is>
          <t>Sveaskog</t>
        </is>
      </c>
      <c r="I724" t="n">
        <v>1.7</v>
      </c>
      <c r="J724" t="n">
        <v>0</v>
      </c>
      <c r="K724" t="n">
        <v>0</v>
      </c>
      <c r="L724" t="n">
        <v>0</v>
      </c>
      <c r="M724" t="n">
        <v>0</v>
      </c>
      <c r="N724" t="n">
        <v>0</v>
      </c>
      <c r="O724" t="n">
        <v>0</v>
      </c>
      <c r="P724" t="n">
        <v>0</v>
      </c>
      <c r="Q724" t="n">
        <v>0</v>
      </c>
      <c r="R724" t="n">
        <v>0</v>
      </c>
      <c r="S724" t="n">
        <v>0</v>
      </c>
      <c r="T724" t="n">
        <v>0</v>
      </c>
      <c r="U724" s="2" t="inlineStr"/>
    </row>
    <row r="725" ht="15" customHeight="1">
      <c r="A725" t="inlineStr">
        <is>
          <t>A 15437-2026</t>
        </is>
      </c>
      <c r="B725" t="inlineStr">
        <is>
          <t>avverkningsanmälan</t>
        </is>
      </c>
      <c r="C725" t="inlineStr">
        <is>
          <t>Föryngringsavverkning</t>
        </is>
      </c>
      <c r="D725" s="1" t="n">
        <v>46106</v>
      </c>
      <c r="E725" s="1" t="n">
        <v>46218</v>
      </c>
      <c r="F725" t="inlineStr">
        <is>
          <t>KRONOBERGS LÄN</t>
        </is>
      </c>
      <c r="G725" t="inlineStr">
        <is>
          <t>UPPVIDINGE</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15482-2026</t>
        </is>
      </c>
      <c r="B726" t="inlineStr">
        <is>
          <t>avverkningsanmälan</t>
        </is>
      </c>
      <c r="C726" t="inlineStr">
        <is>
          <t>Föryngringsavverkning</t>
        </is>
      </c>
      <c r="D726" s="1" t="n">
        <v>46106</v>
      </c>
      <c r="E726" s="1" t="n">
        <v>46218</v>
      </c>
      <c r="F726" t="inlineStr">
        <is>
          <t>KRONOBERGS LÄN</t>
        </is>
      </c>
      <c r="G726" t="inlineStr">
        <is>
          <t>UPPVIDINGE</t>
        </is>
      </c>
      <c r="H726" t="inlineStr">
        <is>
          <t>Sveaskog</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15489-2026</t>
        </is>
      </c>
      <c r="B727" t="inlineStr">
        <is>
          <t>avverkningsanmälan</t>
        </is>
      </c>
      <c r="C727" t="inlineStr">
        <is>
          <t>Föryngringsavverkning</t>
        </is>
      </c>
      <c r="D727" s="1" t="n">
        <v>46106</v>
      </c>
      <c r="E727" s="1" t="n">
        <v>46218</v>
      </c>
      <c r="F727" t="inlineStr">
        <is>
          <t>KRONOBERGS LÄN</t>
        </is>
      </c>
      <c r="G727" t="inlineStr">
        <is>
          <t>UPPVIDINGE</t>
        </is>
      </c>
      <c r="H727" t="inlineStr">
        <is>
          <t>Sveaskog</t>
        </is>
      </c>
      <c r="I727" t="n">
        <v>4.1</v>
      </c>
      <c r="J727" t="n">
        <v>0</v>
      </c>
      <c r="K727" t="n">
        <v>0</v>
      </c>
      <c r="L727" t="n">
        <v>0</v>
      </c>
      <c r="M727" t="n">
        <v>0</v>
      </c>
      <c r="N727" t="n">
        <v>0</v>
      </c>
      <c r="O727" t="n">
        <v>0</v>
      </c>
      <c r="P727" t="n">
        <v>0</v>
      </c>
      <c r="Q727" t="n">
        <v>0</v>
      </c>
      <c r="R727" t="n">
        <v>0</v>
      </c>
      <c r="S727" t="n">
        <v>0</v>
      </c>
      <c r="T727" t="n">
        <v>0</v>
      </c>
      <c r="U727" s="2" t="inlineStr"/>
    </row>
    <row r="728" ht="15" customHeight="1">
      <c r="A728" t="inlineStr">
        <is>
          <t>A 15495-2026</t>
        </is>
      </c>
      <c r="B728" t="inlineStr">
        <is>
          <t>avverkningsanmälan</t>
        </is>
      </c>
      <c r="C728" t="inlineStr">
        <is>
          <t>Föryngringsavverkning</t>
        </is>
      </c>
      <c r="D728" s="1" t="n">
        <v>46106</v>
      </c>
      <c r="E728" s="1" t="n">
        <v>46218</v>
      </c>
      <c r="F728" t="inlineStr">
        <is>
          <t>KRONOBERGS LÄN</t>
        </is>
      </c>
      <c r="G728" t="inlineStr">
        <is>
          <t>UPPVIDINGE</t>
        </is>
      </c>
      <c r="H728" t="inlineStr">
        <is>
          <t>Sveaskog</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15488-2026</t>
        </is>
      </c>
      <c r="B729" t="inlineStr">
        <is>
          <t>avverkningsanmälan</t>
        </is>
      </c>
      <c r="C729" t="inlineStr">
        <is>
          <t>Föryngringsavverkning</t>
        </is>
      </c>
      <c r="D729" s="1" t="n">
        <v>46106</v>
      </c>
      <c r="E729" s="1" t="n">
        <v>46218</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15492-2026</t>
        </is>
      </c>
      <c r="B730" t="inlineStr">
        <is>
          <t>avverkningsanmälan</t>
        </is>
      </c>
      <c r="C730" t="inlineStr">
        <is>
          <t>Föryngringsavverkning</t>
        </is>
      </c>
      <c r="D730" s="1" t="n">
        <v>46106</v>
      </c>
      <c r="E730" s="1" t="n">
        <v>46218</v>
      </c>
      <c r="F730" t="inlineStr">
        <is>
          <t>KRONOBERGS LÄN</t>
        </is>
      </c>
      <c r="G730" t="inlineStr">
        <is>
          <t>UPPVIDINGE</t>
        </is>
      </c>
      <c r="H730" t="inlineStr">
        <is>
          <t>Sveaskog</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17120-2026</t>
        </is>
      </c>
      <c r="B731" t="inlineStr">
        <is>
          <t>avverkningsanmälan</t>
        </is>
      </c>
      <c r="C731" t="inlineStr">
        <is>
          <t>Föryngringsavverkning</t>
        </is>
      </c>
      <c r="D731" s="1" t="n">
        <v>46114</v>
      </c>
      <c r="E731" s="1" t="n">
        <v>46218</v>
      </c>
      <c r="F731" t="inlineStr">
        <is>
          <t>KRONOBERGS LÄN</t>
        </is>
      </c>
      <c r="G731" t="inlineStr">
        <is>
          <t>UPPVIDINGE</t>
        </is>
      </c>
      <c r="H731" t="inlineStr">
        <is>
          <t>Sveaskog</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17126-2026</t>
        </is>
      </c>
      <c r="B732" t="inlineStr">
        <is>
          <t>avverkningsanmälan</t>
        </is>
      </c>
      <c r="C732" t="inlineStr">
        <is>
          <t>Föryngringsavverkning</t>
        </is>
      </c>
      <c r="D732" s="1" t="n">
        <v>46114</v>
      </c>
      <c r="E732" s="1" t="n">
        <v>46218</v>
      </c>
      <c r="F732" t="inlineStr">
        <is>
          <t>KRONOBERGS LÄN</t>
        </is>
      </c>
      <c r="G732" t="inlineStr">
        <is>
          <t>UPPVIDINGE</t>
        </is>
      </c>
      <c r="H732" t="inlineStr">
        <is>
          <t>Sveaskog</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17128-2026</t>
        </is>
      </c>
      <c r="B733" t="inlineStr">
        <is>
          <t>avverkningsanmälan</t>
        </is>
      </c>
      <c r="C733" t="inlineStr">
        <is>
          <t>Föryngringsavverkning</t>
        </is>
      </c>
      <c r="D733" s="1" t="n">
        <v>46114</v>
      </c>
      <c r="E733" s="1" t="n">
        <v>46218</v>
      </c>
      <c r="F733" t="inlineStr">
        <is>
          <t>KRONOBERGS LÄN</t>
        </is>
      </c>
      <c r="G733" t="inlineStr">
        <is>
          <t>UPPVIDINGE</t>
        </is>
      </c>
      <c r="H733" t="inlineStr">
        <is>
          <t>Sveaskog</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17130-2026</t>
        </is>
      </c>
      <c r="B734" t="inlineStr">
        <is>
          <t>avverkningsanmälan</t>
        </is>
      </c>
      <c r="C734" t="inlineStr">
        <is>
          <t>Föryngringsavverkning</t>
        </is>
      </c>
      <c r="D734" s="1" t="n">
        <v>46114</v>
      </c>
      <c r="E734" s="1" t="n">
        <v>46218</v>
      </c>
      <c r="F734" t="inlineStr">
        <is>
          <t>KRONOBERGS LÄN</t>
        </is>
      </c>
      <c r="G734" t="inlineStr">
        <is>
          <t>UPPVIDINGE</t>
        </is>
      </c>
      <c r="H734" t="inlineStr">
        <is>
          <t>Sveaskog</t>
        </is>
      </c>
      <c r="I734" t="n">
        <v>3.8</v>
      </c>
      <c r="J734" t="n">
        <v>0</v>
      </c>
      <c r="K734" t="n">
        <v>0</v>
      </c>
      <c r="L734" t="n">
        <v>0</v>
      </c>
      <c r="M734" t="n">
        <v>0</v>
      </c>
      <c r="N734" t="n">
        <v>0</v>
      </c>
      <c r="O734" t="n">
        <v>0</v>
      </c>
      <c r="P734" t="n">
        <v>0</v>
      </c>
      <c r="Q734" t="n">
        <v>0</v>
      </c>
      <c r="R734" t="n">
        <v>0</v>
      </c>
      <c r="S734" t="n">
        <v>0</v>
      </c>
      <c r="T734" t="n">
        <v>0</v>
      </c>
      <c r="U734" s="2" t="inlineStr"/>
    </row>
    <row r="735" ht="15" customHeight="1">
      <c r="A735" t="inlineStr">
        <is>
          <t>A 17129-2026</t>
        </is>
      </c>
      <c r="B735" t="inlineStr">
        <is>
          <t>avverkningsanmälan</t>
        </is>
      </c>
      <c r="C735" t="inlineStr">
        <is>
          <t>Föryngringsavverkning</t>
        </is>
      </c>
      <c r="D735" s="1" t="n">
        <v>46114</v>
      </c>
      <c r="E735" s="1" t="n">
        <v>46218</v>
      </c>
      <c r="F735" t="inlineStr">
        <is>
          <t>KRONOBERGS LÄN</t>
        </is>
      </c>
      <c r="G735" t="inlineStr">
        <is>
          <t>UPPVIDINGE</t>
        </is>
      </c>
      <c r="H735" t="inlineStr">
        <is>
          <t>Sveaskog</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17123-2026</t>
        </is>
      </c>
      <c r="B736" t="inlineStr">
        <is>
          <t>avverkningsanmälan</t>
        </is>
      </c>
      <c r="C736" t="inlineStr">
        <is>
          <t>Föryngringsavverkning</t>
        </is>
      </c>
      <c r="D736" s="1" t="n">
        <v>46114</v>
      </c>
      <c r="E736" s="1" t="n">
        <v>46218</v>
      </c>
      <c r="F736" t="inlineStr">
        <is>
          <t>KRONOBERGS LÄN</t>
        </is>
      </c>
      <c r="G736" t="inlineStr">
        <is>
          <t>UPPVIDINGE</t>
        </is>
      </c>
      <c r="H736" t="inlineStr">
        <is>
          <t>Sveaskog</t>
        </is>
      </c>
      <c r="I736" t="n">
        <v>1</v>
      </c>
      <c r="J736" t="n">
        <v>0</v>
      </c>
      <c r="K736" t="n">
        <v>0</v>
      </c>
      <c r="L736" t="n">
        <v>0</v>
      </c>
      <c r="M736" t="n">
        <v>0</v>
      </c>
      <c r="N736" t="n">
        <v>0</v>
      </c>
      <c r="O736" t="n">
        <v>0</v>
      </c>
      <c r="P736" t="n">
        <v>0</v>
      </c>
      <c r="Q736" t="n">
        <v>0</v>
      </c>
      <c r="R736" t="n">
        <v>0</v>
      </c>
      <c r="S736" t="n">
        <v>0</v>
      </c>
      <c r="T736" t="n">
        <v>0</v>
      </c>
      <c r="U736" s="2" t="inlineStr"/>
    </row>
    <row r="737" ht="15" customHeight="1">
      <c r="A737" t="inlineStr">
        <is>
          <t>A 49779-2024</t>
        </is>
      </c>
      <c r="B737" t="inlineStr">
        <is>
          <t>avverkningsanmälan</t>
        </is>
      </c>
      <c r="C737" t="inlineStr">
        <is>
          <t>Föryngringsavverkning</t>
        </is>
      </c>
      <c r="D737" s="1" t="n">
        <v>45597</v>
      </c>
      <c r="E737" s="1" t="n">
        <v>46218</v>
      </c>
      <c r="F737" t="inlineStr">
        <is>
          <t>KRONOBERGS LÄN</t>
        </is>
      </c>
      <c r="G737" t="inlineStr">
        <is>
          <t>UPPVIDINGE</t>
        </is>
      </c>
      <c r="H737" t="inlineStr">
        <is>
          <t>Sveaskog</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49809-2024</t>
        </is>
      </c>
      <c r="B738" t="inlineStr">
        <is>
          <t>avverkningsanmälan</t>
        </is>
      </c>
      <c r="C738" t="inlineStr">
        <is>
          <t>Föryngringsavverkning</t>
        </is>
      </c>
      <c r="D738" s="1" t="n">
        <v>45597</v>
      </c>
      <c r="E738" s="1" t="n">
        <v>46218</v>
      </c>
      <c r="F738" t="inlineStr">
        <is>
          <t>KRONOBERGS LÄN</t>
        </is>
      </c>
      <c r="G738" t="inlineStr">
        <is>
          <t>UPPVIDINGE</t>
        </is>
      </c>
      <c r="H738" t="inlineStr">
        <is>
          <t>Sveaskog</t>
        </is>
      </c>
      <c r="I738" t="n">
        <v>4.7</v>
      </c>
      <c r="J738" t="n">
        <v>0</v>
      </c>
      <c r="K738" t="n">
        <v>0</v>
      </c>
      <c r="L738" t="n">
        <v>0</v>
      </c>
      <c r="M738" t="n">
        <v>0</v>
      </c>
      <c r="N738" t="n">
        <v>0</v>
      </c>
      <c r="O738" t="n">
        <v>0</v>
      </c>
      <c r="P738" t="n">
        <v>0</v>
      </c>
      <c r="Q738" t="n">
        <v>0</v>
      </c>
      <c r="R738" t="n">
        <v>0</v>
      </c>
      <c r="S738" t="n">
        <v>0</v>
      </c>
      <c r="T738" t="n">
        <v>0</v>
      </c>
      <c r="U738" s="2" t="inlineStr"/>
    </row>
    <row r="739" ht="15" customHeight="1">
      <c r="A739" t="inlineStr">
        <is>
          <t>A 17866-2026</t>
        </is>
      </c>
      <c r="B739" t="inlineStr">
        <is>
          <t>avverkningsanmälan</t>
        </is>
      </c>
      <c r="C739" t="inlineStr">
        <is>
          <t>Föryngringsavverkning</t>
        </is>
      </c>
      <c r="D739" s="1" t="n">
        <v>46122</v>
      </c>
      <c r="E739" s="1" t="n">
        <v>46218</v>
      </c>
      <c r="F739" t="inlineStr">
        <is>
          <t>KRONOBERGS LÄN</t>
        </is>
      </c>
      <c r="G739" t="inlineStr">
        <is>
          <t>UPPVIDINGE</t>
        </is>
      </c>
      <c r="I739" t="n">
        <v>12.1</v>
      </c>
      <c r="J739" t="n">
        <v>0</v>
      </c>
      <c r="K739" t="n">
        <v>0</v>
      </c>
      <c r="L739" t="n">
        <v>0</v>
      </c>
      <c r="M739" t="n">
        <v>0</v>
      </c>
      <c r="N739" t="n">
        <v>0</v>
      </c>
      <c r="O739" t="n">
        <v>0</v>
      </c>
      <c r="P739" t="n">
        <v>0</v>
      </c>
      <c r="Q739" t="n">
        <v>0</v>
      </c>
      <c r="R739" t="n">
        <v>0</v>
      </c>
      <c r="S739" t="n">
        <v>0</v>
      </c>
      <c r="T739" t="n">
        <v>0</v>
      </c>
      <c r="U739" s="2" t="inlineStr"/>
    </row>
    <row r="740" ht="15" customHeight="1">
      <c r="A740" t="inlineStr">
        <is>
          <t>A 19070-2026</t>
        </is>
      </c>
      <c r="B740" t="inlineStr">
        <is>
          <t>avverkningsanmälan</t>
        </is>
      </c>
      <c r="C740" t="inlineStr">
        <is>
          <t>Föryngringsavverkning</t>
        </is>
      </c>
      <c r="D740" s="1" t="n">
        <v>46132</v>
      </c>
      <c r="E740" s="1" t="n">
        <v>46218</v>
      </c>
      <c r="F740" t="inlineStr">
        <is>
          <t>KRONOBERGS LÄN</t>
        </is>
      </c>
      <c r="G740" t="inlineStr">
        <is>
          <t>UPPVIDINGE</t>
        </is>
      </c>
      <c r="I740" t="n">
        <v>2.3</v>
      </c>
      <c r="J740" t="n">
        <v>0</v>
      </c>
      <c r="K740" t="n">
        <v>0</v>
      </c>
      <c r="L740" t="n">
        <v>0</v>
      </c>
      <c r="M740" t="n">
        <v>0</v>
      </c>
      <c r="N740" t="n">
        <v>0</v>
      </c>
      <c r="O740" t="n">
        <v>0</v>
      </c>
      <c r="P740" t="n">
        <v>0</v>
      </c>
      <c r="Q740" t="n">
        <v>0</v>
      </c>
      <c r="R740" t="n">
        <v>0</v>
      </c>
      <c r="S740" t="n">
        <v>0</v>
      </c>
      <c r="T740" t="n">
        <v>0</v>
      </c>
      <c r="U740" s="2" t="inlineStr"/>
    </row>
    <row r="741" ht="15" customHeight="1">
      <c r="A741" t="inlineStr">
        <is>
          <t>A 19160-2026</t>
        </is>
      </c>
      <c r="B741" t="inlineStr">
        <is>
          <t>avverkningsanmälan</t>
        </is>
      </c>
      <c r="C741" t="inlineStr">
        <is>
          <t>Föryngringsavverkning</t>
        </is>
      </c>
      <c r="D741" s="1" t="n">
        <v>46132</v>
      </c>
      <c r="E741" s="1" t="n">
        <v>46218</v>
      </c>
      <c r="F741" t="inlineStr">
        <is>
          <t>KRONOBERGS LÄN</t>
        </is>
      </c>
      <c r="G741" t="inlineStr">
        <is>
          <t>UPPVIDINGE</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19150-2026</t>
        </is>
      </c>
      <c r="B742" t="inlineStr">
        <is>
          <t>avverkningsanmälan</t>
        </is>
      </c>
      <c r="C742" t="inlineStr">
        <is>
          <t>Föryngringsavverkning</t>
        </is>
      </c>
      <c r="D742" s="1" t="n">
        <v>46132</v>
      </c>
      <c r="E742" s="1" t="n">
        <v>46218</v>
      </c>
      <c r="F742" t="inlineStr">
        <is>
          <t>KRONOBERGS LÄN</t>
        </is>
      </c>
      <c r="G742" t="inlineStr">
        <is>
          <t>UPPVIDINGE</t>
        </is>
      </c>
      <c r="I742" t="n">
        <v>1.8</v>
      </c>
      <c r="J742" t="n">
        <v>0</v>
      </c>
      <c r="K742" t="n">
        <v>0</v>
      </c>
      <c r="L742" t="n">
        <v>0</v>
      </c>
      <c r="M742" t="n">
        <v>0</v>
      </c>
      <c r="N742" t="n">
        <v>0</v>
      </c>
      <c r="O742" t="n">
        <v>0</v>
      </c>
      <c r="P742" t="n">
        <v>0</v>
      </c>
      <c r="Q742" t="n">
        <v>0</v>
      </c>
      <c r="R742" t="n">
        <v>0</v>
      </c>
      <c r="S742" t="n">
        <v>0</v>
      </c>
      <c r="T742" t="n">
        <v>0</v>
      </c>
      <c r="U742" s="2" t="inlineStr"/>
    </row>
    <row r="743" ht="15" customHeight="1">
      <c r="A743" t="inlineStr">
        <is>
          <t>A 25432-2026</t>
        </is>
      </c>
      <c r="B743" t="inlineStr">
        <is>
          <t>avverkningsanmälan</t>
        </is>
      </c>
      <c r="C743" t="inlineStr">
        <is>
          <t>Föryngringsavverkning</t>
        </is>
      </c>
      <c r="D743" s="1" t="n">
        <v>46177</v>
      </c>
      <c r="E743" s="1" t="n">
        <v>46218</v>
      </c>
      <c r="F743" t="inlineStr">
        <is>
          <t>KRONOBERGS LÄN</t>
        </is>
      </c>
      <c r="G743" t="inlineStr">
        <is>
          <t>UPPVIDINGE</t>
        </is>
      </c>
      <c r="H743" t="inlineStr">
        <is>
          <t>Sveaskog</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25428-2026</t>
        </is>
      </c>
      <c r="B744" t="inlineStr">
        <is>
          <t>avverkningsanmälan</t>
        </is>
      </c>
      <c r="C744" t="inlineStr">
        <is>
          <t>Föryngringsavverkning</t>
        </is>
      </c>
      <c r="D744" s="1" t="n">
        <v>46177</v>
      </c>
      <c r="E744" s="1" t="n">
        <v>46218</v>
      </c>
      <c r="F744" t="inlineStr">
        <is>
          <t>KRONOBERGS LÄN</t>
        </is>
      </c>
      <c r="G744" t="inlineStr">
        <is>
          <t>UPPVIDINGE</t>
        </is>
      </c>
      <c r="H744" t="inlineStr">
        <is>
          <t>Sveaskog</t>
        </is>
      </c>
      <c r="I744" t="n">
        <v>4.6</v>
      </c>
      <c r="J744" t="n">
        <v>0</v>
      </c>
      <c r="K744" t="n">
        <v>0</v>
      </c>
      <c r="L744" t="n">
        <v>0</v>
      </c>
      <c r="M744" t="n">
        <v>0</v>
      </c>
      <c r="N744" t="n">
        <v>0</v>
      </c>
      <c r="O744" t="n">
        <v>0</v>
      </c>
      <c r="P744" t="n">
        <v>0</v>
      </c>
      <c r="Q744" t="n">
        <v>0</v>
      </c>
      <c r="R744" t="n">
        <v>0</v>
      </c>
      <c r="S744" t="n">
        <v>0</v>
      </c>
      <c r="T744" t="n">
        <v>0</v>
      </c>
      <c r="U744" s="2" t="inlineStr"/>
    </row>
    <row r="745" ht="15" customHeight="1">
      <c r="A745" t="inlineStr">
        <is>
          <t>A 25431-2026</t>
        </is>
      </c>
      <c r="B745" t="inlineStr">
        <is>
          <t>avverkningsanmälan</t>
        </is>
      </c>
      <c r="C745" t="inlineStr">
        <is>
          <t>Föryngringsavverkning</t>
        </is>
      </c>
      <c r="D745" s="1" t="n">
        <v>46177</v>
      </c>
      <c r="E745" s="1" t="n">
        <v>46218</v>
      </c>
      <c r="F745" t="inlineStr">
        <is>
          <t>KRONOBERGS LÄN</t>
        </is>
      </c>
      <c r="G745" t="inlineStr">
        <is>
          <t>UPPVIDINGE</t>
        </is>
      </c>
      <c r="H745" t="inlineStr">
        <is>
          <t>Sveaskog</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25393-2026</t>
        </is>
      </c>
      <c r="B746" t="inlineStr">
        <is>
          <t>avverkningsanmälan</t>
        </is>
      </c>
      <c r="C746" t="inlineStr">
        <is>
          <t>Föryngringsavverkning</t>
        </is>
      </c>
      <c r="D746" s="1" t="n">
        <v>46176</v>
      </c>
      <c r="E746" s="1" t="n">
        <v>46218</v>
      </c>
      <c r="F746" t="inlineStr">
        <is>
          <t>KRONOBERGS LÄN</t>
        </is>
      </c>
      <c r="G746" t="inlineStr">
        <is>
          <t>UPPVIDINGE</t>
        </is>
      </c>
      <c r="I746" t="n">
        <v>2.8</v>
      </c>
      <c r="J746" t="n">
        <v>0</v>
      </c>
      <c r="K746" t="n">
        <v>0</v>
      </c>
      <c r="L746" t="n">
        <v>0</v>
      </c>
      <c r="M746" t="n">
        <v>0</v>
      </c>
      <c r="N746" t="n">
        <v>0</v>
      </c>
      <c r="O746" t="n">
        <v>0</v>
      </c>
      <c r="P746" t="n">
        <v>0</v>
      </c>
      <c r="Q746" t="n">
        <v>0</v>
      </c>
      <c r="R746" t="n">
        <v>0</v>
      </c>
      <c r="S746" t="n">
        <v>0</v>
      </c>
      <c r="T746" t="n">
        <v>0</v>
      </c>
      <c r="U746" s="2" t="inlineStr"/>
    </row>
    <row r="747" ht="15" customHeight="1">
      <c r="A747" t="inlineStr">
        <is>
          <t>A 25370-2026</t>
        </is>
      </c>
      <c r="B747" t="inlineStr">
        <is>
          <t>avverkningsanmälan</t>
        </is>
      </c>
      <c r="C747" t="inlineStr">
        <is>
          <t>Föryngringsavverkning</t>
        </is>
      </c>
      <c r="D747" s="1" t="n">
        <v>46176</v>
      </c>
      <c r="E747" s="1" t="n">
        <v>46218</v>
      </c>
      <c r="F747" t="inlineStr">
        <is>
          <t>KRONOBERGS LÄN</t>
        </is>
      </c>
      <c r="G747" t="inlineStr">
        <is>
          <t>UPPVIDINGE</t>
        </is>
      </c>
      <c r="I747" t="n">
        <v>3.8</v>
      </c>
      <c r="J747" t="n">
        <v>0</v>
      </c>
      <c r="K747" t="n">
        <v>0</v>
      </c>
      <c r="L747" t="n">
        <v>0</v>
      </c>
      <c r="M747" t="n">
        <v>0</v>
      </c>
      <c r="N747" t="n">
        <v>0</v>
      </c>
      <c r="O747" t="n">
        <v>0</v>
      </c>
      <c r="P747" t="n">
        <v>0</v>
      </c>
      <c r="Q747" t="n">
        <v>0</v>
      </c>
      <c r="R747" t="n">
        <v>0</v>
      </c>
      <c r="S747" t="n">
        <v>0</v>
      </c>
      <c r="T747" t="n">
        <v>0</v>
      </c>
      <c r="U747" s="2" t="inlineStr"/>
    </row>
    <row r="748" ht="15" customHeight="1">
      <c r="A748" t="inlineStr">
        <is>
          <t>A 25427-2026</t>
        </is>
      </c>
      <c r="B748" t="inlineStr">
        <is>
          <t>avverkningsanmälan</t>
        </is>
      </c>
      <c r="C748" t="inlineStr">
        <is>
          <t>Föryngringsavverkning</t>
        </is>
      </c>
      <c r="D748" s="1" t="n">
        <v>46177</v>
      </c>
      <c r="E748" s="1" t="n">
        <v>46218</v>
      </c>
      <c r="F748" t="inlineStr">
        <is>
          <t>KRONOBERGS LÄN</t>
        </is>
      </c>
      <c r="G748" t="inlineStr">
        <is>
          <t>UPPVIDINGE</t>
        </is>
      </c>
      <c r="H748" t="inlineStr">
        <is>
          <t>Sveaskog</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25429-2026</t>
        </is>
      </c>
      <c r="B749" t="inlineStr">
        <is>
          <t>avverkningsanmälan</t>
        </is>
      </c>
      <c r="C749" t="inlineStr">
        <is>
          <t>Föryngringsavverkning</t>
        </is>
      </c>
      <c r="D749" s="1" t="n">
        <v>46177</v>
      </c>
      <c r="E749" s="1" t="n">
        <v>46218</v>
      </c>
      <c r="F749" t="inlineStr">
        <is>
          <t>KRONOBERGS LÄN</t>
        </is>
      </c>
      <c r="G749" t="inlineStr">
        <is>
          <t>UPPVIDINGE</t>
        </is>
      </c>
      <c r="H749" t="inlineStr">
        <is>
          <t>Sveaskog</t>
        </is>
      </c>
      <c r="I749" t="n">
        <v>5.6</v>
      </c>
      <c r="J749" t="n">
        <v>0</v>
      </c>
      <c r="K749" t="n">
        <v>0</v>
      </c>
      <c r="L749" t="n">
        <v>0</v>
      </c>
      <c r="M749" t="n">
        <v>0</v>
      </c>
      <c r="N749" t="n">
        <v>0</v>
      </c>
      <c r="O749" t="n">
        <v>0</v>
      </c>
      <c r="P749" t="n">
        <v>0</v>
      </c>
      <c r="Q749" t="n">
        <v>0</v>
      </c>
      <c r="R749" t="n">
        <v>0</v>
      </c>
      <c r="S749" t="n">
        <v>0</v>
      </c>
      <c r="T749" t="n">
        <v>0</v>
      </c>
      <c r="U749" s="2" t="inlineStr"/>
    </row>
    <row r="750" ht="15" customHeight="1">
      <c r="A750" t="inlineStr">
        <is>
          <t>A 25425-2026</t>
        </is>
      </c>
      <c r="B750" t="inlineStr">
        <is>
          <t>avverkningsanmälan</t>
        </is>
      </c>
      <c r="C750" t="inlineStr">
        <is>
          <t>Föryngringsavverkning</t>
        </is>
      </c>
      <c r="D750" s="1" t="n">
        <v>46177</v>
      </c>
      <c r="E750" s="1" t="n">
        <v>46218</v>
      </c>
      <c r="F750" t="inlineStr">
        <is>
          <t>KRONOBERGS LÄN</t>
        </is>
      </c>
      <c r="G750" t="inlineStr">
        <is>
          <t>UPPVIDINGE</t>
        </is>
      </c>
      <c r="H750" t="inlineStr">
        <is>
          <t>Sveaskog</t>
        </is>
      </c>
      <c r="I750" t="n">
        <v>7.9</v>
      </c>
      <c r="J750" t="n">
        <v>0</v>
      </c>
      <c r="K750" t="n">
        <v>0</v>
      </c>
      <c r="L750" t="n">
        <v>0</v>
      </c>
      <c r="M750" t="n">
        <v>0</v>
      </c>
      <c r="N750" t="n">
        <v>0</v>
      </c>
      <c r="O750" t="n">
        <v>0</v>
      </c>
      <c r="P750" t="n">
        <v>0</v>
      </c>
      <c r="Q750" t="n">
        <v>0</v>
      </c>
      <c r="R750" t="n">
        <v>0</v>
      </c>
      <c r="S750" t="n">
        <v>0</v>
      </c>
      <c r="T750" t="n">
        <v>0</v>
      </c>
      <c r="U750" s="2" t="inlineStr"/>
    </row>
    <row r="751" ht="15" customHeight="1">
      <c r="A751" t="inlineStr">
        <is>
          <t>A 25426-2026</t>
        </is>
      </c>
      <c r="B751" t="inlineStr">
        <is>
          <t>avverkningsanmälan</t>
        </is>
      </c>
      <c r="C751" t="inlineStr">
        <is>
          <t>Föryngringsavverkning</t>
        </is>
      </c>
      <c r="D751" s="1" t="n">
        <v>46177</v>
      </c>
      <c r="E751" s="1" t="n">
        <v>46218</v>
      </c>
      <c r="F751" t="inlineStr">
        <is>
          <t>KRONOBERGS LÄN</t>
        </is>
      </c>
      <c r="G751" t="inlineStr">
        <is>
          <t>UPPVIDINGE</t>
        </is>
      </c>
      <c r="H751" t="inlineStr">
        <is>
          <t>Sveaskog</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25430-2026</t>
        </is>
      </c>
      <c r="B752" t="inlineStr">
        <is>
          <t>avverkningsanmälan</t>
        </is>
      </c>
      <c r="C752" t="inlineStr">
        <is>
          <t>Föryngringsavverkning</t>
        </is>
      </c>
      <c r="D752" s="1" t="n">
        <v>46177</v>
      </c>
      <c r="E752" s="1" t="n">
        <v>46218</v>
      </c>
      <c r="F752" t="inlineStr">
        <is>
          <t>KRONOBERGS LÄN</t>
        </is>
      </c>
      <c r="G752" t="inlineStr">
        <is>
          <t>UPPVIDINGE</t>
        </is>
      </c>
      <c r="H752" t="inlineStr">
        <is>
          <t>Sveaskog</t>
        </is>
      </c>
      <c r="I752" t="n">
        <v>1.8</v>
      </c>
      <c r="J752" t="n">
        <v>0</v>
      </c>
      <c r="K752" t="n">
        <v>0</v>
      </c>
      <c r="L752" t="n">
        <v>0</v>
      </c>
      <c r="M752" t="n">
        <v>0</v>
      </c>
      <c r="N752" t="n">
        <v>0</v>
      </c>
      <c r="O752" t="n">
        <v>0</v>
      </c>
      <c r="P752" t="n">
        <v>0</v>
      </c>
      <c r="Q752" t="n">
        <v>0</v>
      </c>
      <c r="R752" t="n">
        <v>0</v>
      </c>
      <c r="S752" t="n">
        <v>0</v>
      </c>
      <c r="T752" t="n">
        <v>0</v>
      </c>
      <c r="U752" s="2" t="inlineStr"/>
    </row>
    <row r="753" ht="15" customHeight="1">
      <c r="A753" t="inlineStr">
        <is>
          <t>A 19800-2026</t>
        </is>
      </c>
      <c r="B753" t="inlineStr">
        <is>
          <t>avverkningsanmälan</t>
        </is>
      </c>
      <c r="C753" t="inlineStr">
        <is>
          <t>Föryngringsavverkning</t>
        </is>
      </c>
      <c r="D753" s="1" t="n">
        <v>46135</v>
      </c>
      <c r="E753" s="1" t="n">
        <v>46218</v>
      </c>
      <c r="F753" t="inlineStr">
        <is>
          <t>KRONOBERGS LÄN</t>
        </is>
      </c>
      <c r="G753" t="inlineStr">
        <is>
          <t>UPPVIDINGE</t>
        </is>
      </c>
      <c r="I753" t="n">
        <v>2.1</v>
      </c>
      <c r="J753" t="n">
        <v>0</v>
      </c>
      <c r="K753" t="n">
        <v>0</v>
      </c>
      <c r="L753" t="n">
        <v>0</v>
      </c>
      <c r="M753" t="n">
        <v>0</v>
      </c>
      <c r="N753" t="n">
        <v>0</v>
      </c>
      <c r="O753" t="n">
        <v>0</v>
      </c>
      <c r="P753" t="n">
        <v>0</v>
      </c>
      <c r="Q753" t="n">
        <v>0</v>
      </c>
      <c r="R753" t="n">
        <v>0</v>
      </c>
      <c r="S753" t="n">
        <v>0</v>
      </c>
      <c r="T753" t="n">
        <v>0</v>
      </c>
      <c r="U753" s="2" t="inlineStr"/>
    </row>
    <row r="754" ht="15" customHeight="1">
      <c r="A754" t="inlineStr">
        <is>
          <t>A 51214-2023</t>
        </is>
      </c>
      <c r="B754" t="inlineStr">
        <is>
          <t>avverkningsanmälan</t>
        </is>
      </c>
      <c r="C754" t="inlineStr">
        <is>
          <t>Föryngringsavverkning</t>
        </is>
      </c>
      <c r="D754" s="1" t="n">
        <v>45219</v>
      </c>
      <c r="E754" s="1" t="n">
        <v>46218</v>
      </c>
      <c r="F754" t="inlineStr">
        <is>
          <t>KRONOBERGS LÄN</t>
        </is>
      </c>
      <c r="G754" t="inlineStr">
        <is>
          <t>UPPVIDINGE</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29331-2025</t>
        </is>
      </c>
      <c r="B755" t="inlineStr">
        <is>
          <t>avverkningsanmälan</t>
        </is>
      </c>
      <c r="C755" t="inlineStr">
        <is>
          <t>Föryngringsavverkning</t>
        </is>
      </c>
      <c r="D755" s="1" t="n">
        <v>45824</v>
      </c>
      <c r="E755" s="1" t="n">
        <v>46218</v>
      </c>
      <c r="F755" t="inlineStr">
        <is>
          <t>KRONOBERGS LÄN</t>
        </is>
      </c>
      <c r="G755" t="inlineStr">
        <is>
          <t>UPPVIDINGE</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26121-2026</t>
        </is>
      </c>
      <c r="B756" t="inlineStr">
        <is>
          <t>avverkningsanmälan</t>
        </is>
      </c>
      <c r="C756" t="inlineStr">
        <is>
          <t>Föryngringsavverkning</t>
        </is>
      </c>
      <c r="D756" s="1" t="n">
        <v>46181</v>
      </c>
      <c r="E756" s="1" t="n">
        <v>46218</v>
      </c>
      <c r="F756" t="inlineStr">
        <is>
          <t>KRONOBERGS LÄN</t>
        </is>
      </c>
      <c r="G756" t="inlineStr">
        <is>
          <t>UPPVIDINGE</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27415-2024</t>
        </is>
      </c>
      <c r="B757" t="inlineStr">
        <is>
          <t>avverkningsanmälan</t>
        </is>
      </c>
      <c r="C757" t="inlineStr">
        <is>
          <t>Föryngringsavverkning</t>
        </is>
      </c>
      <c r="D757" s="1" t="n">
        <v>45474</v>
      </c>
      <c r="E757" s="1" t="n">
        <v>46218</v>
      </c>
      <c r="F757" t="inlineStr">
        <is>
          <t>KRONOBERGS LÄN</t>
        </is>
      </c>
      <c r="G757" t="inlineStr">
        <is>
          <t>UPPVIDINGE</t>
        </is>
      </c>
      <c r="I757" t="n">
        <v>8.4</v>
      </c>
      <c r="J757" t="n">
        <v>0</v>
      </c>
      <c r="K757" t="n">
        <v>0</v>
      </c>
      <c r="L757" t="n">
        <v>0</v>
      </c>
      <c r="M757" t="n">
        <v>0</v>
      </c>
      <c r="N757" t="n">
        <v>0</v>
      </c>
      <c r="O757" t="n">
        <v>0</v>
      </c>
      <c r="P757" t="n">
        <v>0</v>
      </c>
      <c r="Q757" t="n">
        <v>0</v>
      </c>
      <c r="R757" t="n">
        <v>0</v>
      </c>
      <c r="S757" t="n">
        <v>0</v>
      </c>
      <c r="T757" t="n">
        <v>0</v>
      </c>
      <c r="U757" s="2" t="inlineStr"/>
    </row>
    <row r="758" ht="15" customHeight="1">
      <c r="A758" t="inlineStr">
        <is>
          <t>A 65115-2023</t>
        </is>
      </c>
      <c r="B758" t="inlineStr">
        <is>
          <t>avverkningsanmälan</t>
        </is>
      </c>
      <c r="C758" t="inlineStr">
        <is>
          <t>Föryngringsavverkning</t>
        </is>
      </c>
      <c r="D758" s="1" t="n">
        <v>45288</v>
      </c>
      <c r="E758" s="1" t="n">
        <v>46218</v>
      </c>
      <c r="F758" t="inlineStr">
        <is>
          <t>KRONOBERGS LÄN</t>
        </is>
      </c>
      <c r="G758" t="inlineStr">
        <is>
          <t>UPPVIDINGE</t>
        </is>
      </c>
      <c r="H758" t="inlineStr">
        <is>
          <t>Sveaskog</t>
        </is>
      </c>
      <c r="I758" t="n">
        <v>2.9</v>
      </c>
      <c r="J758" t="n">
        <v>0</v>
      </c>
      <c r="K758" t="n">
        <v>0</v>
      </c>
      <c r="L758" t="n">
        <v>0</v>
      </c>
      <c r="M758" t="n">
        <v>0</v>
      </c>
      <c r="N758" t="n">
        <v>0</v>
      </c>
      <c r="O758" t="n">
        <v>0</v>
      </c>
      <c r="P758" t="n">
        <v>0</v>
      </c>
      <c r="Q758" t="n">
        <v>0</v>
      </c>
      <c r="R758" t="n">
        <v>0</v>
      </c>
      <c r="S758" t="n">
        <v>0</v>
      </c>
      <c r="T758" t="n">
        <v>0</v>
      </c>
      <c r="U758" s="2" t="inlineStr"/>
    </row>
    <row r="759" ht="15" customHeight="1">
      <c r="A759" t="inlineStr">
        <is>
          <t>A 33876-2025</t>
        </is>
      </c>
      <c r="B759" t="inlineStr">
        <is>
          <t>avverkningsanmälan</t>
        </is>
      </c>
      <c r="C759" t="inlineStr">
        <is>
          <t>Föryngringsavverkning</t>
        </is>
      </c>
      <c r="D759" s="1" t="n">
        <v>45842</v>
      </c>
      <c r="E759" s="1" t="n">
        <v>46218</v>
      </c>
      <c r="F759" t="inlineStr">
        <is>
          <t>KRONOBERGS LÄN</t>
        </is>
      </c>
      <c r="G759" t="inlineStr">
        <is>
          <t>UPPVIDINGE</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20343-2026</t>
        </is>
      </c>
      <c r="B760" t="inlineStr">
        <is>
          <t>avverkningsanmälan</t>
        </is>
      </c>
      <c r="C760" t="inlineStr">
        <is>
          <t>Föryngringsavverkning</t>
        </is>
      </c>
      <c r="D760" s="1" t="n">
        <v>46139</v>
      </c>
      <c r="E760" s="1" t="n">
        <v>46218</v>
      </c>
      <c r="F760" t="inlineStr">
        <is>
          <t>KRONOBERGS LÄN</t>
        </is>
      </c>
      <c r="G760" t="inlineStr">
        <is>
          <t>UPPVIDINGE</t>
        </is>
      </c>
      <c r="I760" t="n">
        <v>3</v>
      </c>
      <c r="J760" t="n">
        <v>0</v>
      </c>
      <c r="K760" t="n">
        <v>0</v>
      </c>
      <c r="L760" t="n">
        <v>0</v>
      </c>
      <c r="M760" t="n">
        <v>0</v>
      </c>
      <c r="N760" t="n">
        <v>0</v>
      </c>
      <c r="O760" t="n">
        <v>0</v>
      </c>
      <c r="P760" t="n">
        <v>0</v>
      </c>
      <c r="Q760" t="n">
        <v>0</v>
      </c>
      <c r="R760" t="n">
        <v>0</v>
      </c>
      <c r="S760" t="n">
        <v>0</v>
      </c>
      <c r="T760" t="n">
        <v>0</v>
      </c>
      <c r="U760" s="2" t="inlineStr"/>
    </row>
    <row r="761" ht="15" customHeight="1">
      <c r="A761" t="inlineStr">
        <is>
          <t>A 26118-2026</t>
        </is>
      </c>
      <c r="B761" t="inlineStr">
        <is>
          <t>avverkningsanmälan</t>
        </is>
      </c>
      <c r="C761" t="inlineStr">
        <is>
          <t>Föryngringsavverkning</t>
        </is>
      </c>
      <c r="D761" s="1" t="n">
        <v>46181</v>
      </c>
      <c r="E761" s="1" t="n">
        <v>46218</v>
      </c>
      <c r="F761" t="inlineStr">
        <is>
          <t>KRONOBERGS LÄN</t>
        </is>
      </c>
      <c r="G761" t="inlineStr">
        <is>
          <t>UPPVIDINGE</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15496-2025</t>
        </is>
      </c>
      <c r="B762" t="inlineStr">
        <is>
          <t>avverkningsanmälan</t>
        </is>
      </c>
      <c r="C762" t="inlineStr">
        <is>
          <t>Föryngringsavverkning</t>
        </is>
      </c>
      <c r="D762" s="1" t="n">
        <v>45747</v>
      </c>
      <c r="E762" s="1" t="n">
        <v>46218</v>
      </c>
      <c r="F762" t="inlineStr">
        <is>
          <t>KRONOBERGS LÄN</t>
        </is>
      </c>
      <c r="G762" t="inlineStr">
        <is>
          <t>UPPVIDINGE</t>
        </is>
      </c>
      <c r="H762" t="inlineStr">
        <is>
          <t>Kommuner</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55977-2025</t>
        </is>
      </c>
      <c r="B763" t="inlineStr">
        <is>
          <t>avverkningsanmälan</t>
        </is>
      </c>
      <c r="C763" t="inlineStr">
        <is>
          <t>Föryngringsavverkning</t>
        </is>
      </c>
      <c r="D763" s="1" t="n">
        <v>45973</v>
      </c>
      <c r="E763" s="1" t="n">
        <v>46218</v>
      </c>
      <c r="F763" t="inlineStr">
        <is>
          <t>KRONOBERGS LÄN</t>
        </is>
      </c>
      <c r="G763" t="inlineStr">
        <is>
          <t>UPPVIDINGE</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S 8095-2021</t>
        </is>
      </c>
      <c r="B764" t="inlineStr">
        <is>
          <t>samrådsanmälan</t>
        </is>
      </c>
      <c r="C764" t="inlineStr">
        <is>
          <t>Skogsbilväg</t>
        </is>
      </c>
      <c r="D764" s="1" t="n">
        <v>44489</v>
      </c>
      <c r="E764" s="1" t="n">
        <v>46218</v>
      </c>
      <c r="F764" t="inlineStr">
        <is>
          <t>KRONOBERGS LÄN</t>
        </is>
      </c>
      <c r="G764" t="inlineStr">
        <is>
          <t>UPPVIDINGE</t>
        </is>
      </c>
      <c r="H764" t="inlineStr">
        <is>
          <t>Sveaskog</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S 3286-2022</t>
        </is>
      </c>
      <c r="B765" t="inlineStr">
        <is>
          <t>samrådsanmälan</t>
        </is>
      </c>
      <c r="C765" t="inlineStr">
        <is>
          <t>Askåterföring</t>
        </is>
      </c>
      <c r="D765" s="1" t="n">
        <v>44726</v>
      </c>
      <c r="E765" s="1" t="n">
        <v>46218</v>
      </c>
      <c r="F765" t="inlineStr">
        <is>
          <t>KRONOBERGS LÄN</t>
        </is>
      </c>
      <c r="G765" t="inlineStr">
        <is>
          <t>UPPVIDINGE</t>
        </is>
      </c>
      <c r="I765" t="n">
        <v>36.7</v>
      </c>
      <c r="J765" t="n">
        <v>0</v>
      </c>
      <c r="K765" t="n">
        <v>0</v>
      </c>
      <c r="L765" t="n">
        <v>0</v>
      </c>
      <c r="M765" t="n">
        <v>0</v>
      </c>
      <c r="N765" t="n">
        <v>0</v>
      </c>
      <c r="O765" t="n">
        <v>0</v>
      </c>
      <c r="P765" t="n">
        <v>0</v>
      </c>
      <c r="Q765" t="n">
        <v>0</v>
      </c>
      <c r="R765" t="n">
        <v>0</v>
      </c>
      <c r="S765" t="n">
        <v>0</v>
      </c>
      <c r="T765" t="n">
        <v>0</v>
      </c>
      <c r="U765" s="2" t="inlineStr"/>
    </row>
    <row r="766" ht="15" customHeight="1">
      <c r="A766" t="inlineStr">
        <is>
          <t>S 7179-2022</t>
        </is>
      </c>
      <c r="B766" t="inlineStr">
        <is>
          <t>samrådsanmälan</t>
        </is>
      </c>
      <c r="C766" t="inlineStr">
        <is>
          <t>Askåterföring</t>
        </is>
      </c>
      <c r="D766" s="1" t="n">
        <v>44916</v>
      </c>
      <c r="E766" s="1" t="n">
        <v>46218</v>
      </c>
      <c r="F766" t="inlineStr">
        <is>
          <t>KRONOBERGS LÄN</t>
        </is>
      </c>
      <c r="G766" t="inlineStr">
        <is>
          <t>UPPVIDINGE</t>
        </is>
      </c>
      <c r="I766" t="n">
        <v>4.2</v>
      </c>
      <c r="J766" t="n">
        <v>0</v>
      </c>
      <c r="K766" t="n">
        <v>0</v>
      </c>
      <c r="L766" t="n">
        <v>0</v>
      </c>
      <c r="M766" t="n">
        <v>0</v>
      </c>
      <c r="N766" t="n">
        <v>0</v>
      </c>
      <c r="O766" t="n">
        <v>0</v>
      </c>
      <c r="P766" t="n">
        <v>0</v>
      </c>
      <c r="Q766" t="n">
        <v>0</v>
      </c>
      <c r="R766" t="n">
        <v>0</v>
      </c>
      <c r="S766" t="n">
        <v>0</v>
      </c>
      <c r="T766" t="n">
        <v>0</v>
      </c>
      <c r="U766" s="2" t="inlineStr"/>
    </row>
    <row r="767" ht="15" customHeight="1">
      <c r="A767" t="inlineStr">
        <is>
          <t>S 2789-2023</t>
        </is>
      </c>
      <c r="B767" t="inlineStr">
        <is>
          <t>samrådsanmälan</t>
        </is>
      </c>
      <c r="C767" t="inlineStr">
        <is>
          <t>Annan skogsbruksåtgärd</t>
        </is>
      </c>
      <c r="D767" s="1" t="n">
        <v>45161</v>
      </c>
      <c r="E767" s="1" t="n">
        <v>46218</v>
      </c>
      <c r="F767" t="inlineStr">
        <is>
          <t>KRONOBERGS LÄN</t>
        </is>
      </c>
      <c r="G767" t="inlineStr">
        <is>
          <t>UPPVIDINGE</t>
        </is>
      </c>
      <c r="H767" t="inlineStr">
        <is>
          <t>Sveaskog</t>
        </is>
      </c>
      <c r="I767" t="n">
        <v>3.1</v>
      </c>
      <c r="J767" t="n">
        <v>0</v>
      </c>
      <c r="K767" t="n">
        <v>0</v>
      </c>
      <c r="L767" t="n">
        <v>0</v>
      </c>
      <c r="M767" t="n">
        <v>0</v>
      </c>
      <c r="N767" t="n">
        <v>0</v>
      </c>
      <c r="O767" t="n">
        <v>0</v>
      </c>
      <c r="P767" t="n">
        <v>0</v>
      </c>
      <c r="Q767" t="n">
        <v>0</v>
      </c>
      <c r="R767" t="n">
        <v>0</v>
      </c>
      <c r="S767" t="n">
        <v>0</v>
      </c>
      <c r="T767" t="n">
        <v>0</v>
      </c>
      <c r="U767" s="2" t="inlineStr"/>
    </row>
    <row r="768" ht="15" customHeight="1">
      <c r="A768" t="inlineStr">
        <is>
          <t>S 2591-2024</t>
        </is>
      </c>
      <c r="B768" t="inlineStr">
        <is>
          <t>samrådsanmälan</t>
        </is>
      </c>
      <c r="C768" t="inlineStr">
        <is>
          <t>Askåterföring</t>
        </is>
      </c>
      <c r="D768" s="1" t="n">
        <v>45476</v>
      </c>
      <c r="E768" s="1" t="n">
        <v>46218</v>
      </c>
      <c r="F768" t="inlineStr">
        <is>
          <t>KRONOBERGS LÄN</t>
        </is>
      </c>
      <c r="G768" t="inlineStr">
        <is>
          <t>UPPVIDINGE</t>
        </is>
      </c>
      <c r="I768" t="n">
        <v>32</v>
      </c>
      <c r="J768" t="n">
        <v>0</v>
      </c>
      <c r="K768" t="n">
        <v>0</v>
      </c>
      <c r="L768" t="n">
        <v>0</v>
      </c>
      <c r="M768" t="n">
        <v>0</v>
      </c>
      <c r="N768" t="n">
        <v>0</v>
      </c>
      <c r="O768" t="n">
        <v>0</v>
      </c>
      <c r="P768" t="n">
        <v>0</v>
      </c>
      <c r="Q768" t="n">
        <v>0</v>
      </c>
      <c r="R768" t="n">
        <v>0</v>
      </c>
      <c r="S768" t="n">
        <v>0</v>
      </c>
      <c r="T768" t="n">
        <v>0</v>
      </c>
      <c r="U768" s="2" t="inlineStr"/>
    </row>
    <row r="769" ht="15" customHeight="1">
      <c r="A769" t="inlineStr">
        <is>
          <t>S 4491-2021</t>
        </is>
      </c>
      <c r="B769" t="inlineStr">
        <is>
          <t>samrådsanmälan</t>
        </is>
      </c>
      <c r="C769" t="inlineStr">
        <is>
          <t>Askåterföring</t>
        </is>
      </c>
      <c r="D769" s="1" t="n">
        <v>44400</v>
      </c>
      <c r="E769" s="1" t="n">
        <v>46218</v>
      </c>
      <c r="F769" t="inlineStr">
        <is>
          <t>KRONOBERGS LÄN</t>
        </is>
      </c>
      <c r="G769" t="inlineStr">
        <is>
          <t>UPPVIDINGE</t>
        </is>
      </c>
      <c r="I769" t="n">
        <v>32.6</v>
      </c>
      <c r="J769" t="n">
        <v>0</v>
      </c>
      <c r="K769" t="n">
        <v>0</v>
      </c>
      <c r="L769" t="n">
        <v>0</v>
      </c>
      <c r="M769" t="n">
        <v>0</v>
      </c>
      <c r="N769" t="n">
        <v>0</v>
      </c>
      <c r="O769" t="n">
        <v>0</v>
      </c>
      <c r="P769" t="n">
        <v>0</v>
      </c>
      <c r="Q769" t="n">
        <v>0</v>
      </c>
      <c r="R769" t="n">
        <v>0</v>
      </c>
      <c r="S769" t="n">
        <v>0</v>
      </c>
      <c r="T769" t="n">
        <v>0</v>
      </c>
      <c r="U769" s="2" t="inlineStr"/>
    </row>
    <row r="770" ht="15" customHeight="1">
      <c r="A770" t="inlineStr">
        <is>
          <t>S 439-2023</t>
        </is>
      </c>
      <c r="B770" t="inlineStr">
        <is>
          <t>samrådsanmälan</t>
        </is>
      </c>
      <c r="C770" t="inlineStr">
        <is>
          <t>Annan skogsbruksåtgärd</t>
        </is>
      </c>
      <c r="D770" s="1" t="n">
        <v>44963</v>
      </c>
      <c r="E770" s="1" t="n">
        <v>46218</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S 23-2023</t>
        </is>
      </c>
      <c r="B771" t="inlineStr">
        <is>
          <t>samrådsanmälan</t>
        </is>
      </c>
      <c r="C771" t="inlineStr">
        <is>
          <t>Askåterföring</t>
        </is>
      </c>
      <c r="D771" s="1" t="n">
        <v>44916</v>
      </c>
      <c r="E771" s="1" t="n">
        <v>46218</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s="2" t="inlineStr"/>
    </row>
    <row r="772" ht="15" customHeight="1">
      <c r="A772" t="inlineStr">
        <is>
          <t>S 2565-2023</t>
        </is>
      </c>
      <c r="B772" t="inlineStr">
        <is>
          <t>samrådsanmälan</t>
        </is>
      </c>
      <c r="C772" t="inlineStr">
        <is>
          <t>Annan skogsbruksåtgärd</t>
        </is>
      </c>
      <c r="D772" s="1" t="n">
        <v>45140</v>
      </c>
      <c r="E772" s="1" t="n">
        <v>46218</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s="2" t="inlineStr"/>
    </row>
    <row r="773" ht="15" customHeight="1">
      <c r="A773" t="inlineStr">
        <is>
          <t>S 7060-2021</t>
        </is>
      </c>
      <c r="B773" t="inlineStr">
        <is>
          <t>samrådsanmälan</t>
        </is>
      </c>
      <c r="C773" t="inlineStr">
        <is>
          <t>Annan skogsbruksåtgärd</t>
        </is>
      </c>
      <c r="D773" s="1" t="n">
        <v>44462</v>
      </c>
      <c r="E773" s="1" t="n">
        <v>46218</v>
      </c>
      <c r="F773" t="inlineStr">
        <is>
          <t>KRONOBERGS LÄN</t>
        </is>
      </c>
      <c r="G773" t="inlineStr">
        <is>
          <t>UPPVIDINGE</t>
        </is>
      </c>
      <c r="I773" t="n">
        <v>1.2</v>
      </c>
      <c r="J773" t="n">
        <v>0</v>
      </c>
      <c r="K773" t="n">
        <v>0</v>
      </c>
      <c r="L773" t="n">
        <v>0</v>
      </c>
      <c r="M773" t="n">
        <v>0</v>
      </c>
      <c r="N773" t="n">
        <v>0</v>
      </c>
      <c r="O773" t="n">
        <v>0</v>
      </c>
      <c r="P773" t="n">
        <v>0</v>
      </c>
      <c r="Q773" t="n">
        <v>0</v>
      </c>
      <c r="R773" t="n">
        <v>0</v>
      </c>
      <c r="S773" t="n">
        <v>0</v>
      </c>
      <c r="T773" t="n">
        <v>0</v>
      </c>
      <c r="U773" s="2" t="inlineStr"/>
    </row>
    <row r="774" ht="15" customHeight="1">
      <c r="A774" t="inlineStr">
        <is>
          <t>S 5540-2022</t>
        </is>
      </c>
      <c r="B774" t="inlineStr">
        <is>
          <t>samrådsanmälan</t>
        </is>
      </c>
      <c r="C774" t="inlineStr">
        <is>
          <t>Skogsbilväg</t>
        </is>
      </c>
      <c r="D774" s="1" t="n">
        <v>44837</v>
      </c>
      <c r="E774" s="1" t="n">
        <v>46218</v>
      </c>
      <c r="F774" t="inlineStr">
        <is>
          <t>KRONOBERGS LÄN</t>
        </is>
      </c>
      <c r="G774" t="inlineStr">
        <is>
          <t>UPPVIDINGE</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S 2790-2023</t>
        </is>
      </c>
      <c r="B775" t="inlineStr">
        <is>
          <t>samrådsanmälan</t>
        </is>
      </c>
      <c r="C775" t="inlineStr">
        <is>
          <t>Annan skogsbruksåtgärd</t>
        </is>
      </c>
      <c r="D775" s="1" t="n">
        <v>45161</v>
      </c>
      <c r="E775" s="1" t="n">
        <v>46218</v>
      </c>
      <c r="F775" t="inlineStr">
        <is>
          <t>KRONOBERGS LÄN</t>
        </is>
      </c>
      <c r="G775" t="inlineStr">
        <is>
          <t>UPPVIDINGE</t>
        </is>
      </c>
      <c r="H775" t="inlineStr">
        <is>
          <t>Sveaskog</t>
        </is>
      </c>
      <c r="I775" t="n">
        <v>1.8</v>
      </c>
      <c r="J775" t="n">
        <v>0</v>
      </c>
      <c r="K775" t="n">
        <v>0</v>
      </c>
      <c r="L775" t="n">
        <v>0</v>
      </c>
      <c r="M775" t="n">
        <v>0</v>
      </c>
      <c r="N775" t="n">
        <v>0</v>
      </c>
      <c r="O775" t="n">
        <v>0</v>
      </c>
      <c r="P775" t="n">
        <v>0</v>
      </c>
      <c r="Q775" t="n">
        <v>0</v>
      </c>
      <c r="R775" t="n">
        <v>0</v>
      </c>
      <c r="S775" t="n">
        <v>0</v>
      </c>
      <c r="T775" t="n">
        <v>0</v>
      </c>
      <c r="U775" s="2" t="inlineStr"/>
    </row>
    <row r="776" ht="15" customHeight="1">
      <c r="A776" t="inlineStr">
        <is>
          <t>S 6804-2022</t>
        </is>
      </c>
      <c r="B776" t="inlineStr">
        <is>
          <t>samrådsanmälan</t>
        </is>
      </c>
      <c r="C776" t="inlineStr">
        <is>
          <t>Askåterföring</t>
        </is>
      </c>
      <c r="D776" s="1" t="n">
        <v>44893</v>
      </c>
      <c r="E776" s="1" t="n">
        <v>46218</v>
      </c>
      <c r="F776" t="inlineStr">
        <is>
          <t>KRONOBERGS LÄN</t>
        </is>
      </c>
      <c r="G776" t="inlineStr">
        <is>
          <t>UPPVIDINGE</t>
        </is>
      </c>
      <c r="I776" t="n">
        <v>121</v>
      </c>
      <c r="J776" t="n">
        <v>0</v>
      </c>
      <c r="K776" t="n">
        <v>0</v>
      </c>
      <c r="L776" t="n">
        <v>0</v>
      </c>
      <c r="M776" t="n">
        <v>0</v>
      </c>
      <c r="N776" t="n">
        <v>0</v>
      </c>
      <c r="O776" t="n">
        <v>0</v>
      </c>
      <c r="P776" t="n">
        <v>0</v>
      </c>
      <c r="Q776" t="n">
        <v>0</v>
      </c>
      <c r="R776" t="n">
        <v>0</v>
      </c>
      <c r="S776" t="n">
        <v>0</v>
      </c>
      <c r="T776" t="n">
        <v>0</v>
      </c>
      <c r="U776" s="2" t="inlineStr"/>
    </row>
    <row r="777" ht="15" customHeight="1">
      <c r="A777" t="inlineStr">
        <is>
          <t>S 7177-2022</t>
        </is>
      </c>
      <c r="B777" t="inlineStr">
        <is>
          <t>samrådsanmälan</t>
        </is>
      </c>
      <c r="C777" t="inlineStr">
        <is>
          <t>Askåterföring</t>
        </is>
      </c>
      <c r="D777" s="1" t="n">
        <v>44916</v>
      </c>
      <c r="E777" s="1" t="n">
        <v>46218</v>
      </c>
      <c r="F777" t="inlineStr">
        <is>
          <t>KRONOBERGS LÄN</t>
        </is>
      </c>
      <c r="G777" t="inlineStr">
        <is>
          <t>UPPVIDINGE</t>
        </is>
      </c>
      <c r="I777" t="n">
        <v>2.2</v>
      </c>
      <c r="J777" t="n">
        <v>0</v>
      </c>
      <c r="K777" t="n">
        <v>0</v>
      </c>
      <c r="L777" t="n">
        <v>0</v>
      </c>
      <c r="M777" t="n">
        <v>0</v>
      </c>
      <c r="N777" t="n">
        <v>0</v>
      </c>
      <c r="O777" t="n">
        <v>0</v>
      </c>
      <c r="P777" t="n">
        <v>0</v>
      </c>
      <c r="Q777" t="n">
        <v>0</v>
      </c>
      <c r="R777" t="n">
        <v>0</v>
      </c>
      <c r="S777" t="n">
        <v>0</v>
      </c>
      <c r="T777" t="n">
        <v>0</v>
      </c>
      <c r="U777" s="2" t="inlineStr"/>
    </row>
    <row r="778" ht="15" customHeight="1">
      <c r="A778" t="inlineStr">
        <is>
          <t>S 3283-2022</t>
        </is>
      </c>
      <c r="B778" t="inlineStr">
        <is>
          <t>samrådsanmälan</t>
        </is>
      </c>
      <c r="C778" t="inlineStr">
        <is>
          <t>Askåterföring</t>
        </is>
      </c>
      <c r="D778" s="1" t="n">
        <v>44726</v>
      </c>
      <c r="E778" s="1" t="n">
        <v>46218</v>
      </c>
      <c r="F778" t="inlineStr">
        <is>
          <t>KRONOBERGS LÄN</t>
        </is>
      </c>
      <c r="G778" t="inlineStr">
        <is>
          <t>UPPVIDINGE</t>
        </is>
      </c>
      <c r="I778" t="n">
        <v>36</v>
      </c>
      <c r="J778" t="n">
        <v>0</v>
      </c>
      <c r="K778" t="n">
        <v>0</v>
      </c>
      <c r="L778" t="n">
        <v>0</v>
      </c>
      <c r="M778" t="n">
        <v>0</v>
      </c>
      <c r="N778" t="n">
        <v>0</v>
      </c>
      <c r="O778" t="n">
        <v>0</v>
      </c>
      <c r="P778" t="n">
        <v>0</v>
      </c>
      <c r="Q778" t="n">
        <v>0</v>
      </c>
      <c r="R778" t="n">
        <v>0</v>
      </c>
      <c r="S778" t="n">
        <v>0</v>
      </c>
      <c r="T778" t="n">
        <v>0</v>
      </c>
      <c r="U778" s="2" t="inlineStr"/>
    </row>
    <row r="779" ht="15" customHeight="1">
      <c r="A779" t="inlineStr">
        <is>
          <t>S 1382-2024</t>
        </is>
      </c>
      <c r="B779" t="inlineStr">
        <is>
          <t>samrådsanmälan</t>
        </is>
      </c>
      <c r="C779" t="inlineStr">
        <is>
          <t>Askåterföring</t>
        </is>
      </c>
      <c r="D779" s="1" t="n">
        <v>45411</v>
      </c>
      <c r="E779" s="1" t="n">
        <v>46218</v>
      </c>
      <c r="F779" t="inlineStr">
        <is>
          <t>KRONOBERGS LÄN</t>
        </is>
      </c>
      <c r="G779" t="inlineStr">
        <is>
          <t>UPPVIDINGE</t>
        </is>
      </c>
      <c r="I779" t="n">
        <v>26.7</v>
      </c>
      <c r="J779" t="n">
        <v>0</v>
      </c>
      <c r="K779" t="n">
        <v>0</v>
      </c>
      <c r="L779" t="n">
        <v>0</v>
      </c>
      <c r="M779" t="n">
        <v>0</v>
      </c>
      <c r="N779" t="n">
        <v>0</v>
      </c>
      <c r="O779" t="n">
        <v>0</v>
      </c>
      <c r="P779" t="n">
        <v>0</v>
      </c>
      <c r="Q779" t="n">
        <v>0</v>
      </c>
      <c r="R779" t="n">
        <v>0</v>
      </c>
      <c r="S779" t="n">
        <v>0</v>
      </c>
      <c r="T779" t="n">
        <v>0</v>
      </c>
      <c r="U779" s="2" t="inlineStr"/>
    </row>
    <row r="780" ht="15" customHeight="1">
      <c r="A780" t="inlineStr">
        <is>
          <t>S 1523-2025</t>
        </is>
      </c>
      <c r="B780" t="inlineStr">
        <is>
          <t>samrådsanmälan</t>
        </is>
      </c>
      <c r="C780" t="inlineStr">
        <is>
          <t>Skogsbilväg</t>
        </is>
      </c>
      <c r="D780" s="1" t="n">
        <v>45791</v>
      </c>
      <c r="E780" s="1" t="n">
        <v>46218</v>
      </c>
      <c r="F780" t="inlineStr">
        <is>
          <t>KRONOBERGS LÄN</t>
        </is>
      </c>
      <c r="G780" t="inlineStr">
        <is>
          <t>UPPVIDINGE</t>
        </is>
      </c>
      <c r="I780" t="n">
        <v>0.1</v>
      </c>
      <c r="J780" t="n">
        <v>0</v>
      </c>
      <c r="K780" t="n">
        <v>0</v>
      </c>
      <c r="L780" t="n">
        <v>0</v>
      </c>
      <c r="M780" t="n">
        <v>0</v>
      </c>
      <c r="N780" t="n">
        <v>0</v>
      </c>
      <c r="O780" t="n">
        <v>0</v>
      </c>
      <c r="P780" t="n">
        <v>0</v>
      </c>
      <c r="Q780" t="n">
        <v>0</v>
      </c>
      <c r="R780" t="n">
        <v>0</v>
      </c>
      <c r="S780" t="n">
        <v>0</v>
      </c>
      <c r="T780" t="n">
        <v>0</v>
      </c>
      <c r="U780" s="2" t="inlineStr"/>
    </row>
    <row r="781" ht="15" customHeight="1">
      <c r="A781" t="inlineStr">
        <is>
          <t>S 2541-2025</t>
        </is>
      </c>
      <c r="B781" t="inlineStr">
        <is>
          <t>samrådsanmälan</t>
        </is>
      </c>
      <c r="C781" t="inlineStr">
        <is>
          <t>Annan skogsbruksåtgärd</t>
        </is>
      </c>
      <c r="D781" s="1" t="n">
        <v>45910</v>
      </c>
      <c r="E781" s="1" t="n">
        <v>46218</v>
      </c>
      <c r="F781" t="inlineStr">
        <is>
          <t>KRONOBERGS LÄN</t>
        </is>
      </c>
      <c r="G781" t="inlineStr">
        <is>
          <t>UPPVIDINGE</t>
        </is>
      </c>
      <c r="I781" t="n">
        <v>3.6</v>
      </c>
      <c r="J781" t="n">
        <v>0</v>
      </c>
      <c r="K781" t="n">
        <v>0</v>
      </c>
      <c r="L781" t="n">
        <v>0</v>
      </c>
      <c r="M781" t="n">
        <v>0</v>
      </c>
      <c r="N781" t="n">
        <v>0</v>
      </c>
      <c r="O781" t="n">
        <v>0</v>
      </c>
      <c r="P781" t="n">
        <v>0</v>
      </c>
      <c r="Q781" t="n">
        <v>0</v>
      </c>
      <c r="R781" t="n">
        <v>0</v>
      </c>
      <c r="S781" t="n">
        <v>0</v>
      </c>
      <c r="T781" t="n">
        <v>0</v>
      </c>
      <c r="U781" s="2" t="inlineStr"/>
    </row>
    <row r="782" ht="15" customHeight="1">
      <c r="A782" t="inlineStr">
        <is>
          <t>S 35-2026</t>
        </is>
      </c>
      <c r="B782" t="inlineStr">
        <is>
          <t>samrådsanmälan</t>
        </is>
      </c>
      <c r="C782" t="inlineStr">
        <is>
          <t>Askåterföring</t>
        </is>
      </c>
      <c r="D782" s="1" t="n">
        <v>46030</v>
      </c>
      <c r="E782" s="1" t="n">
        <v>46218</v>
      </c>
      <c r="F782" t="inlineStr">
        <is>
          <t>KRONOBERGS LÄN</t>
        </is>
      </c>
      <c r="G782" t="inlineStr">
        <is>
          <t>UPPVIDINGE</t>
        </is>
      </c>
      <c r="I782" t="n">
        <v>41</v>
      </c>
      <c r="J782" t="n">
        <v>0</v>
      </c>
      <c r="K782" t="n">
        <v>0</v>
      </c>
      <c r="L782" t="n">
        <v>0</v>
      </c>
      <c r="M782" t="n">
        <v>0</v>
      </c>
      <c r="N782" t="n">
        <v>0</v>
      </c>
      <c r="O782" t="n">
        <v>0</v>
      </c>
      <c r="P782" t="n">
        <v>0</v>
      </c>
      <c r="Q782" t="n">
        <v>0</v>
      </c>
      <c r="R782" t="n">
        <v>0</v>
      </c>
      <c r="S782" t="n">
        <v>0</v>
      </c>
      <c r="T782" t="n">
        <v>0</v>
      </c>
      <c r="U782" s="2" t="inlineStr"/>
    </row>
    <row r="783">
      <c r="A783" t="inlineStr">
        <is>
          <t>S 234-2026</t>
        </is>
      </c>
      <c r="B783" t="inlineStr">
        <is>
          <t>samrådsanmälan</t>
        </is>
      </c>
      <c r="C783" t="inlineStr">
        <is>
          <t>Annan skogsbruksåtgärd</t>
        </is>
      </c>
      <c r="D783" s="1" t="n">
        <v>46051</v>
      </c>
      <c r="E783" s="1" t="n">
        <v>46218</v>
      </c>
      <c r="F783" t="inlineStr">
        <is>
          <t>KRONOBERGS LÄN</t>
        </is>
      </c>
      <c r="G783" t="inlineStr">
        <is>
          <t>UPPVIDINGE</t>
        </is>
      </c>
      <c r="I783" t="n">
        <v>10.5</v>
      </c>
      <c r="J783" t="n">
        <v>0</v>
      </c>
      <c r="K783" t="n">
        <v>0</v>
      </c>
      <c r="L783" t="n">
        <v>0</v>
      </c>
      <c r="M783" t="n">
        <v>0</v>
      </c>
      <c r="N783" t="n">
        <v>0</v>
      </c>
      <c r="O783" t="n">
        <v>0</v>
      </c>
      <c r="P783" t="n">
        <v>0</v>
      </c>
      <c r="Q783" t="n">
        <v>0</v>
      </c>
      <c r="R783" t="n">
        <v>0</v>
      </c>
      <c r="S783" t="n">
        <v>0</v>
      </c>
      <c r="T783" t="n">
        <v>0</v>
      </c>
      <c r="U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2026-07-15T01:24:00Z</dcterms:created>
  <dcterms:modified xmlns:dcterms="http://purl.org/dc/terms/" xmlns:xsi="http://www.w3.org/2001/XMLSchema-instance" xsi:type="dcterms:W3CDTF">2026-07-15T01:24:01Z</dcterms:modified>
</cp:coreProperties>
</file>