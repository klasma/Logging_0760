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46217</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46217</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46217</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46217</v>
      </c>
      <c r="F8" t="inlineStr">
        <is>
          <t>KRONOBERGS LÄN</t>
        </is>
      </c>
      <c r="G8" t="inlineStr">
        <is>
          <t>UPPVIDINGE</t>
        </is>
      </c>
      <c r="H8" t="inlineStr">
        <is>
          <t>Sveaskog</t>
        </is>
      </c>
      <c r="I8" t="n">
        <v>814.1</v>
      </c>
      <c r="J8" t="n">
        <v>7</v>
      </c>
      <c r="K8" t="n">
        <v>7</v>
      </c>
      <c r="L8" t="n">
        <v>7</v>
      </c>
      <c r="M8" t="n">
        <v>1</v>
      </c>
      <c r="N8" t="n">
        <v>0</v>
      </c>
      <c r="O8" t="n">
        <v>0</v>
      </c>
      <c r="P8" t="n">
        <v>0</v>
      </c>
      <c r="Q8" t="n">
        <v>8</v>
      </c>
      <c r="R8" t="n">
        <v>1</v>
      </c>
      <c r="S8" t="n">
        <v>20</v>
      </c>
      <c r="T8" t="n">
        <v>27</v>
      </c>
      <c r="U8" s="2" t="inlineStr">
        <is>
          <t>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46217</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46217</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46217</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46217</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46217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46217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46217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46217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46217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46217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46217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46217</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46217</v>
      </c>
      <c r="F21" t="inlineStr">
        <is>
          <t>KRONOBERGS LÄN</t>
        </is>
      </c>
      <c r="G21" t="inlineStr">
        <is>
          <t>UPPVIDINGE</t>
        </is>
      </c>
      <c r="I21" t="n">
        <v>2</v>
      </c>
      <c r="J21" t="n">
        <v>3</v>
      </c>
      <c r="K21" t="n">
        <v>0</v>
      </c>
      <c r="L21" t="n">
        <v>3</v>
      </c>
      <c r="M21" t="n">
        <v>1</v>
      </c>
      <c r="N21" t="n">
        <v>0</v>
      </c>
      <c r="O21" t="n">
        <v>0</v>
      </c>
      <c r="P21" t="n">
        <v>0</v>
      </c>
      <c r="Q21" t="n">
        <v>4</v>
      </c>
      <c r="R21" t="n">
        <v>1</v>
      </c>
      <c r="S21" t="n">
        <v>6</v>
      </c>
      <c r="T21" t="n">
        <v>10</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26451-2026</t>
        </is>
      </c>
      <c r="B22" t="inlineStr">
        <is>
          <t>avverkningsanmälan</t>
        </is>
      </c>
      <c r="C22" t="inlineStr">
        <is>
          <t>Föryngringsavverkning</t>
        </is>
      </c>
      <c r="D22" s="1" t="n">
        <v>46183</v>
      </c>
      <c r="E22" s="1" t="n">
        <v>46217</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s="2" t="inlineStr">
        <is>
          <t>Knärot
Fjällig taggsvamp s.str.
Gropticka
Orange taggsvamp
Skarp dropptaggsvamp
Grönpyrola</t>
        </is>
      </c>
      <c r="V22">
        <f>HYPERLINK("https://klasma.github.io/Logging_0760/artfynd/A 26451-2026 artfynd.xlsx", "A 26451-2026")</f>
        <v/>
      </c>
      <c r="W22">
        <f>HYPERLINK("https://klasma.github.io/Logging_0760/kartor/A 26451-2026 karta.png", "A 26451-2026")</f>
        <v/>
      </c>
      <c r="X22">
        <f>HYPERLINK("https://klasma.github.io/Logging_0760/knärot/A 26451-2026 karta knärot.png", "A 26451-2026")</f>
        <v/>
      </c>
      <c r="Y22">
        <f>HYPERLINK("https://klasma.github.io/Logging_0760/klagomål/A 26451-2026 FSC-klagomål.docx", "A 26451-2026")</f>
        <v/>
      </c>
      <c r="Z22">
        <f>HYPERLINK("https://klasma.github.io/Logging_0760/klagomålsmail/A 26451-2026 FSC-klagomål mail.docx", "A 26451-2026")</f>
        <v/>
      </c>
      <c r="AA22">
        <f>HYPERLINK("https://klasma.github.io/Logging_0760/tillsyn/A 26451-2026 tillsynsbegäran.docx", "A 26451-2026")</f>
        <v/>
      </c>
      <c r="AB22">
        <f>HYPERLINK("https://klasma.github.io/Logging_0760/tillsynsmail/A 26451-2026 tillsynsbegäran mail.docx", "A 26451-2026")</f>
        <v/>
      </c>
    </row>
    <row r="23" ht="15" customHeight="1">
      <c r="A23" t="inlineStr">
        <is>
          <t>A 8828-2026</t>
        </is>
      </c>
      <c r="B23" t="inlineStr">
        <is>
          <t>avverkningsanmälan</t>
        </is>
      </c>
      <c r="C23" t="inlineStr">
        <is>
          <t>Avverkning för att bevara och utveckla /försöksver</t>
        </is>
      </c>
      <c r="D23" s="1" t="n">
        <v>46066</v>
      </c>
      <c r="E23" s="1" t="n">
        <v>46217</v>
      </c>
      <c r="F23" t="inlineStr">
        <is>
          <t>KRONOBERGS LÄN</t>
        </is>
      </c>
      <c r="G23" t="inlineStr">
        <is>
          <t>UPPVIDINGE</t>
        </is>
      </c>
      <c r="I23" t="n">
        <v>4</v>
      </c>
      <c r="J23" t="n">
        <v>2</v>
      </c>
      <c r="K23" t="n">
        <v>2</v>
      </c>
      <c r="L23" t="n">
        <v>2</v>
      </c>
      <c r="M23" t="n">
        <v>0</v>
      </c>
      <c r="N23" t="n">
        <v>0</v>
      </c>
      <c r="O23" t="n">
        <v>0</v>
      </c>
      <c r="P23" t="n">
        <v>0</v>
      </c>
      <c r="Q23" t="n">
        <v>2</v>
      </c>
      <c r="R23" t="n">
        <v>0</v>
      </c>
      <c r="S23" t="n">
        <v>6</v>
      </c>
      <c r="T23" t="n">
        <v>7</v>
      </c>
      <c r="U23" s="2" t="inlineStr">
        <is>
          <t>Kattfotslav
Vedskivlav
Blåmossa
Bollvitmossa
Spillkråka
Revlummer</t>
        </is>
      </c>
      <c r="V23">
        <f>HYPERLINK("https://klasma.github.io/Logging_0760/artfynd/A 8828-2026 artfynd.xlsx", "A 8828-2026")</f>
        <v/>
      </c>
      <c r="W23">
        <f>HYPERLINK("https://klasma.github.io/Logging_0760/kartor/A 8828-2026 karta.png", "A 8828-2026")</f>
        <v/>
      </c>
      <c r="Y23">
        <f>HYPERLINK("https://klasma.github.io/Logging_0760/klagomål/A 8828-2026 FSC-klagomål.docx", "A 8828-2026")</f>
        <v/>
      </c>
      <c r="Z23">
        <f>HYPERLINK("https://klasma.github.io/Logging_0760/klagomålsmail/A 8828-2026 FSC-klagomål mail.docx", "A 8828-2026")</f>
        <v/>
      </c>
      <c r="AA23">
        <f>HYPERLINK("https://klasma.github.io/Logging_0760/tillsyn/A 8828-2026 tillsynsbegäran.docx", "A 8828-2026")</f>
        <v/>
      </c>
      <c r="AB23">
        <f>HYPERLINK("https://klasma.github.io/Logging_0760/tillsynsmail/A 8828-2026 tillsynsbegäran mail.docx", "A 8828-2026")</f>
        <v/>
      </c>
      <c r="AC23">
        <f>HYPERLINK("https://klasma.github.io/Logging_0760/fåglar/A 8828-2026 prioriterade fågelarter.docx", "A 8828-2026")</f>
        <v/>
      </c>
    </row>
    <row r="24" ht="15" customHeight="1">
      <c r="A24" t="inlineStr">
        <is>
          <t>A 2576-2024</t>
        </is>
      </c>
      <c r="B24" t="inlineStr">
        <is>
          <t>avverkningsanmälan</t>
        </is>
      </c>
      <c r="C24" t="inlineStr">
        <is>
          <t>Föryngringsavverkning</t>
        </is>
      </c>
      <c r="D24" s="1" t="n">
        <v>45313</v>
      </c>
      <c r="E24" s="1" t="n">
        <v>46217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s="2" t="inlineStr">
        <is>
          <t>Knärot
Korallrot
Stor revmossa
Spillkråka
Orre</t>
        </is>
      </c>
      <c r="V24">
        <f>HYPERLINK("https://klasma.github.io/Logging_0760/artfynd/A 2576-2024 artfynd.xlsx", "A 2576-2024")</f>
        <v/>
      </c>
      <c r="W24">
        <f>HYPERLINK("https://klasma.github.io/Logging_0760/kartor/A 2576-2024 karta.png", "A 2576-2024")</f>
        <v/>
      </c>
      <c r="X24">
        <f>HYPERLINK("https://klasma.github.io/Logging_0760/knärot/A 2576-2024 karta knärot.png", "A 2576-2024")</f>
        <v/>
      </c>
      <c r="Y24">
        <f>HYPERLINK("https://klasma.github.io/Logging_0760/klagomål/A 2576-2024 FSC-klagomål.docx", "A 2576-2024")</f>
        <v/>
      </c>
      <c r="Z24">
        <f>HYPERLINK("https://klasma.github.io/Logging_0760/klagomålsmail/A 2576-2024 FSC-klagomål mail.docx", "A 2576-2024")</f>
        <v/>
      </c>
      <c r="AA24">
        <f>HYPERLINK("https://klasma.github.io/Logging_0760/tillsyn/A 2576-2024 tillsynsbegäran.docx", "A 2576-2024")</f>
        <v/>
      </c>
      <c r="AB24">
        <f>HYPERLINK("https://klasma.github.io/Logging_0760/tillsynsmail/A 2576-2024 tillsynsbegäran mail.docx", "A 2576-2024")</f>
        <v/>
      </c>
      <c r="AC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46217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s="2" t="inlineStr">
        <is>
          <t>Aspgelélav
Lunglav
Bårdlav
Fällmossa
Blåsippa</t>
        </is>
      </c>
      <c r="V25">
        <f>HYPERLINK("https://klasma.github.io/Logging_0760/artfynd/A 10489-2024 artfynd.xlsx", "A 10489-2024")</f>
        <v/>
      </c>
      <c r="W25">
        <f>HYPERLINK("https://klasma.github.io/Logging_0760/kartor/A 10489-2024 karta.png", "A 10489-2024")</f>
        <v/>
      </c>
      <c r="Y25">
        <f>HYPERLINK("https://klasma.github.io/Logging_0760/klagomål/A 10489-2024 FSC-klagomål.docx", "A 10489-2024")</f>
        <v/>
      </c>
      <c r="Z25">
        <f>HYPERLINK("https://klasma.github.io/Logging_0760/klagomålsmail/A 10489-2024 FSC-klagomål mail.docx", "A 10489-2024")</f>
        <v/>
      </c>
      <c r="AA25">
        <f>HYPERLINK("https://klasma.github.io/Logging_0760/tillsyn/A 10489-2024 tillsynsbegäran.docx", "A 10489-2024")</f>
        <v/>
      </c>
      <c r="AB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46217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46217</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46217</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46217</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27866-2024</t>
        </is>
      </c>
      <c r="B30" t="inlineStr">
        <is>
          <t>avverkningsanmälan</t>
        </is>
      </c>
      <c r="C30" t="inlineStr">
        <is>
          <t>Avverkning för annat ändamål</t>
        </is>
      </c>
      <c r="D30" s="1" t="n">
        <v>45475</v>
      </c>
      <c r="E30" s="1" t="n">
        <v>46217</v>
      </c>
      <c r="F30" t="inlineStr">
        <is>
          <t>KRONOBERGS LÄN</t>
        </is>
      </c>
      <c r="G30" t="inlineStr">
        <is>
          <t>UPPVIDINGE</t>
        </is>
      </c>
      <c r="I30" t="n">
        <v>2.6</v>
      </c>
      <c r="J30" t="n">
        <v>0</v>
      </c>
      <c r="K30" t="n">
        <v>0</v>
      </c>
      <c r="L30" t="n">
        <v>3</v>
      </c>
      <c r="M30" t="n">
        <v>0</v>
      </c>
      <c r="N30" t="n">
        <v>0</v>
      </c>
      <c r="O30" t="n">
        <v>0</v>
      </c>
      <c r="P30" t="n">
        <v>0</v>
      </c>
      <c r="Q30" t="n">
        <v>3</v>
      </c>
      <c r="R30" t="n">
        <v>0</v>
      </c>
      <c r="S30" t="n">
        <v>3</v>
      </c>
      <c r="T30" t="n">
        <v>12</v>
      </c>
      <c r="U30" s="2" t="inlineStr">
        <is>
          <t>Backmåra
Spindelört
Spindelörtskinnbagge</t>
        </is>
      </c>
      <c r="V30">
        <f>HYPERLINK("https://klasma.github.io/Logging_0760/artfynd/A 27866-2024 artfynd.xlsx", "A 27866-2024")</f>
        <v/>
      </c>
      <c r="W30">
        <f>HYPERLINK("https://klasma.github.io/Logging_0760/kartor/A 27866-2024 karta.png", "A 27866-2024")</f>
        <v/>
      </c>
      <c r="Y30">
        <f>HYPERLINK("https://klasma.github.io/Logging_0760/klagomål/A 27866-2024 FSC-klagomål.docx", "A 27866-2024")</f>
        <v/>
      </c>
      <c r="Z30">
        <f>HYPERLINK("https://klasma.github.io/Logging_0760/klagomålsmail/A 27866-2024 FSC-klagomål mail.docx", "A 27866-2024")</f>
        <v/>
      </c>
      <c r="AA30">
        <f>HYPERLINK("https://klasma.github.io/Logging_0760/tillsyn/A 27866-2024 tillsynsbegäran.docx", "A 27866-2024")</f>
        <v/>
      </c>
      <c r="AB30">
        <f>HYPERLINK("https://klasma.github.io/Logging_0760/tillsynsmail/A 27866-2024 tillsynsbegäran mail.docx", "A 27866-2024")</f>
        <v/>
      </c>
    </row>
    <row r="31" ht="15" customHeight="1">
      <c r="A31" t="inlineStr">
        <is>
          <t>A 51425-2024</t>
        </is>
      </c>
      <c r="B31" t="inlineStr">
        <is>
          <t>avverkningsanmälan</t>
        </is>
      </c>
      <c r="C31" t="inlineStr">
        <is>
          <t>Föryngringsavverkning</t>
        </is>
      </c>
      <c r="D31" s="1" t="n">
        <v>45604</v>
      </c>
      <c r="E31" s="1" t="n">
        <v>46217</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s="2" t="inlineStr">
        <is>
          <t>Rostfläck
Spillkråka
Tjäder</t>
        </is>
      </c>
      <c r="V31">
        <f>HYPERLINK("https://klasma.github.io/Logging_0760/artfynd/A 51425-2024 artfynd.xlsx", "A 51425-2024")</f>
        <v/>
      </c>
      <c r="W31">
        <f>HYPERLINK("https://klasma.github.io/Logging_0760/kartor/A 51425-2024 karta.png", "A 51425-2024")</f>
        <v/>
      </c>
      <c r="Y31">
        <f>HYPERLINK("https://klasma.github.io/Logging_0760/klagomål/A 51425-2024 FSC-klagomål.docx", "A 51425-2024")</f>
        <v/>
      </c>
      <c r="Z31">
        <f>HYPERLINK("https://klasma.github.io/Logging_0760/klagomålsmail/A 51425-2024 FSC-klagomål mail.docx", "A 51425-2024")</f>
        <v/>
      </c>
      <c r="AA31">
        <f>HYPERLINK("https://klasma.github.io/Logging_0760/tillsyn/A 51425-2024 tillsynsbegäran.docx", "A 51425-2024")</f>
        <v/>
      </c>
      <c r="AB31">
        <f>HYPERLINK("https://klasma.github.io/Logging_0760/tillsynsmail/A 51425-2024 tillsynsbegäran mail.docx", "A 51425-2024")</f>
        <v/>
      </c>
      <c r="AC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46217</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s="2" t="inlineStr">
        <is>
          <t>Knärot
Tallticka
Spillkråka</t>
        </is>
      </c>
      <c r="V32">
        <f>HYPERLINK("https://klasma.github.io/Logging_0760/artfynd/A 45777-2023 artfynd.xlsx", "A 45777-2023")</f>
        <v/>
      </c>
      <c r="W32">
        <f>HYPERLINK("https://klasma.github.io/Logging_0760/kartor/A 45777-2023 karta.png", "A 45777-2023")</f>
        <v/>
      </c>
      <c r="X32">
        <f>HYPERLINK("https://klasma.github.io/Logging_0760/knärot/A 45777-2023 karta knärot.png", "A 45777-2023")</f>
        <v/>
      </c>
      <c r="Y32">
        <f>HYPERLINK("https://klasma.github.io/Logging_0760/klagomål/A 45777-2023 FSC-klagomål.docx", "A 45777-2023")</f>
        <v/>
      </c>
      <c r="Z32">
        <f>HYPERLINK("https://klasma.github.io/Logging_0760/klagomålsmail/A 45777-2023 FSC-klagomål mail.docx", "A 45777-2023")</f>
        <v/>
      </c>
      <c r="AA32">
        <f>HYPERLINK("https://klasma.github.io/Logging_0760/tillsyn/A 45777-2023 tillsynsbegäran.docx", "A 45777-2023")</f>
        <v/>
      </c>
      <c r="AB32">
        <f>HYPERLINK("https://klasma.github.io/Logging_0760/tillsynsmail/A 45777-2023 tillsynsbegäran mail.docx", "A 45777-2023")</f>
        <v/>
      </c>
      <c r="AC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46217</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s="2" t="inlineStr">
        <is>
          <t>Knärot
Tjockfotad fingersvamp
Ullticka</t>
        </is>
      </c>
      <c r="V33">
        <f>HYPERLINK("https://klasma.github.io/Logging_0760/artfynd/A 23115-2024 artfynd.xlsx", "A 23115-2024")</f>
        <v/>
      </c>
      <c r="W33">
        <f>HYPERLINK("https://klasma.github.io/Logging_0760/kartor/A 23115-2024 karta.png", "A 23115-2024")</f>
        <v/>
      </c>
      <c r="X33">
        <f>HYPERLINK("https://klasma.github.io/Logging_0760/knärot/A 23115-2024 karta knärot.png", "A 23115-2024")</f>
        <v/>
      </c>
      <c r="Y33">
        <f>HYPERLINK("https://klasma.github.io/Logging_0760/klagomål/A 23115-2024 FSC-klagomål.docx", "A 23115-2024")</f>
        <v/>
      </c>
      <c r="Z33">
        <f>HYPERLINK("https://klasma.github.io/Logging_0760/klagomålsmail/A 23115-2024 FSC-klagomål mail.docx", "A 23115-2024")</f>
        <v/>
      </c>
      <c r="AA33">
        <f>HYPERLINK("https://klasma.github.io/Logging_0760/tillsyn/A 23115-2024 tillsynsbegäran.docx", "A 23115-2024")</f>
        <v/>
      </c>
      <c r="AB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46217</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s="2" t="inlineStr">
        <is>
          <t>Fjällig taggsvamp s.str.
Skarp dropptaggsvamp
Blåsippa</t>
        </is>
      </c>
      <c r="V34">
        <f>HYPERLINK("https://klasma.github.io/Logging_0760/artfynd/A 33088-2025 artfynd.xlsx", "A 33088-2025")</f>
        <v/>
      </c>
      <c r="W34">
        <f>HYPERLINK("https://klasma.github.io/Logging_0760/kartor/A 33088-2025 karta.png", "A 33088-2025")</f>
        <v/>
      </c>
      <c r="Y34">
        <f>HYPERLINK("https://klasma.github.io/Logging_0760/klagomål/A 33088-2025 FSC-klagomål.docx", "A 33088-2025")</f>
        <v/>
      </c>
      <c r="Z34">
        <f>HYPERLINK("https://klasma.github.io/Logging_0760/klagomålsmail/A 33088-2025 FSC-klagomål mail.docx", "A 33088-2025")</f>
        <v/>
      </c>
      <c r="AA34">
        <f>HYPERLINK("https://klasma.github.io/Logging_0760/tillsyn/A 33088-2025 tillsynsbegäran.docx", "A 33088-2025")</f>
        <v/>
      </c>
      <c r="AB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46217</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46217</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46217</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51489-2024</t>
        </is>
      </c>
      <c r="B38" t="inlineStr">
        <is>
          <t>avverkningsanmälan</t>
        </is>
      </c>
      <c r="C38" t="inlineStr">
        <is>
          <t>Föryngringsavverkning</t>
        </is>
      </c>
      <c r="D38" s="1" t="n">
        <v>45604</v>
      </c>
      <c r="E38" s="1" t="n">
        <v>46217</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s="2" t="inlineStr">
        <is>
          <t>Slåtterfibbla
Tibast</t>
        </is>
      </c>
      <c r="V38">
        <f>HYPERLINK("https://klasma.github.io/Logging_0760/artfynd/A 51489-2024 artfynd.xlsx", "A 51489-2024")</f>
        <v/>
      </c>
      <c r="W38">
        <f>HYPERLINK("https://klasma.github.io/Logging_0760/kartor/A 51489-2024 karta.png", "A 51489-2024")</f>
        <v/>
      </c>
      <c r="Y38">
        <f>HYPERLINK("https://klasma.github.io/Logging_0760/klagomål/A 51489-2024 FSC-klagomål.docx", "A 51489-2024")</f>
        <v/>
      </c>
      <c r="Z38">
        <f>HYPERLINK("https://klasma.github.io/Logging_0760/klagomålsmail/A 51489-2024 FSC-klagomål mail.docx", "A 51489-2024")</f>
        <v/>
      </c>
      <c r="AA38">
        <f>HYPERLINK("https://klasma.github.io/Logging_0760/tillsyn/A 51489-2024 tillsynsbegäran.docx", "A 51489-2024")</f>
        <v/>
      </c>
      <c r="AB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46217</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s="2" t="inlineStr">
        <is>
          <t>Blåsippa
Gullviva</t>
        </is>
      </c>
      <c r="V39">
        <f>HYPERLINK("https://klasma.github.io/Logging_0760/artfynd/A 4720-2025 artfynd.xlsx", "A 4720-2025")</f>
        <v/>
      </c>
      <c r="W39">
        <f>HYPERLINK("https://klasma.github.io/Logging_0760/kartor/A 4720-2025 karta.png", "A 4720-2025")</f>
        <v/>
      </c>
      <c r="Y39">
        <f>HYPERLINK("https://klasma.github.io/Logging_0760/klagomål/A 4720-2025 FSC-klagomål.docx", "A 4720-2025")</f>
        <v/>
      </c>
      <c r="Z39">
        <f>HYPERLINK("https://klasma.github.io/Logging_0760/klagomålsmail/A 4720-2025 FSC-klagomål mail.docx", "A 4720-2025")</f>
        <v/>
      </c>
      <c r="AA39">
        <f>HYPERLINK("https://klasma.github.io/Logging_0760/tillsyn/A 4720-2025 tillsynsbegäran.docx", "A 4720-2025")</f>
        <v/>
      </c>
      <c r="AB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46217</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s="2" t="inlineStr">
        <is>
          <t>Gulsparv
Järnsparv</t>
        </is>
      </c>
      <c r="V40">
        <f>HYPERLINK("https://klasma.github.io/Logging_0760/artfynd/A 48123-2023 artfynd.xlsx", "A 48123-2023")</f>
        <v/>
      </c>
      <c r="W40">
        <f>HYPERLINK("https://klasma.github.io/Logging_0760/kartor/A 48123-2023 karta.png", "A 48123-2023")</f>
        <v/>
      </c>
      <c r="Y40">
        <f>HYPERLINK("https://klasma.github.io/Logging_0760/klagomål/A 48123-2023 FSC-klagomål.docx", "A 48123-2023")</f>
        <v/>
      </c>
      <c r="Z40">
        <f>HYPERLINK("https://klasma.github.io/Logging_0760/klagomålsmail/A 48123-2023 FSC-klagomål mail.docx", "A 48123-2023")</f>
        <v/>
      </c>
      <c r="AA40">
        <f>HYPERLINK("https://klasma.github.io/Logging_0760/tillsyn/A 48123-2023 tillsynsbegäran.docx", "A 48123-2023")</f>
        <v/>
      </c>
      <c r="AB40">
        <f>HYPERLINK("https://klasma.github.io/Logging_0760/tillsynsmail/A 48123-2023 tillsynsbegäran mail.docx", "A 48123-2023")</f>
        <v/>
      </c>
      <c r="AC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46217</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s="2" t="inlineStr">
        <is>
          <t>Korallrot
Dubbelnycklar</t>
        </is>
      </c>
      <c r="V41">
        <f>HYPERLINK("https://klasma.github.io/Logging_0760/artfynd/A 28468-2023 artfynd.xlsx", "A 28468-2023")</f>
        <v/>
      </c>
      <c r="W41">
        <f>HYPERLINK("https://klasma.github.io/Logging_0760/kartor/A 28468-2023 karta.png", "A 28468-2023")</f>
        <v/>
      </c>
      <c r="Y41">
        <f>HYPERLINK("https://klasma.github.io/Logging_0760/klagomål/A 28468-2023 FSC-klagomål.docx", "A 28468-2023")</f>
        <v/>
      </c>
      <c r="Z41">
        <f>HYPERLINK("https://klasma.github.io/Logging_0760/klagomålsmail/A 28468-2023 FSC-klagomål mail.docx", "A 28468-2023")</f>
        <v/>
      </c>
      <c r="AA41">
        <f>HYPERLINK("https://klasma.github.io/Logging_0760/tillsyn/A 28468-2023 tillsynsbegäran.docx", "A 28468-2023")</f>
        <v/>
      </c>
      <c r="AB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46217</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s="2" t="inlineStr">
        <is>
          <t>Nordfladdermus
Mustaschfladdermus</t>
        </is>
      </c>
      <c r="V42">
        <f>HYPERLINK("https://klasma.github.io/Logging_0760/artfynd/A 43405-2024 artfynd.xlsx", "A 43405-2024")</f>
        <v/>
      </c>
      <c r="W42">
        <f>HYPERLINK("https://klasma.github.io/Logging_0760/kartor/A 43405-2024 karta.png", "A 43405-2024")</f>
        <v/>
      </c>
      <c r="Y42">
        <f>HYPERLINK("https://klasma.github.io/Logging_0760/klagomål/A 43405-2024 FSC-klagomål.docx", "A 43405-2024")</f>
        <v/>
      </c>
      <c r="Z42">
        <f>HYPERLINK("https://klasma.github.io/Logging_0760/klagomålsmail/A 43405-2024 FSC-klagomål mail.docx", "A 43405-2024")</f>
        <v/>
      </c>
      <c r="AA42">
        <f>HYPERLINK("https://klasma.github.io/Logging_0760/tillsyn/A 43405-2024 tillsynsbegäran.docx", "A 43405-2024")</f>
        <v/>
      </c>
      <c r="AB42">
        <f>HYPERLINK("https://klasma.github.io/Logging_0760/tillsynsmail/A 43405-2024 tillsynsbegäran mail.docx", "A 43405-2024")</f>
        <v/>
      </c>
    </row>
    <row r="43" ht="15" customHeight="1">
      <c r="A43" t="inlineStr">
        <is>
          <t>A 5721-2026</t>
        </is>
      </c>
      <c r="B43" t="inlineStr">
        <is>
          <t>avverkningsanmälan</t>
        </is>
      </c>
      <c r="C43" t="inlineStr">
        <is>
          <t>Avverkning för annat ändamål</t>
        </is>
      </c>
      <c r="D43" s="1" t="n">
        <v>46051</v>
      </c>
      <c r="E43" s="1" t="n">
        <v>46217</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s="2" t="inlineStr">
        <is>
          <t>Solvända
Sommarfibbla</t>
        </is>
      </c>
      <c r="V43">
        <f>HYPERLINK("https://klasma.github.io/Logging_0760/artfynd/A 5721-2026 artfynd.xlsx", "A 5721-2026")</f>
        <v/>
      </c>
      <c r="W43">
        <f>HYPERLINK("https://klasma.github.io/Logging_0760/kartor/A 5721-2026 karta.png", "A 5721-2026")</f>
        <v/>
      </c>
      <c r="Y43">
        <f>HYPERLINK("https://klasma.github.io/Logging_0760/klagomål/A 5721-2026 FSC-klagomål.docx", "A 5721-2026")</f>
        <v/>
      </c>
      <c r="Z43">
        <f>HYPERLINK("https://klasma.github.io/Logging_0760/klagomålsmail/A 5721-2026 FSC-klagomål mail.docx", "A 5721-2026")</f>
        <v/>
      </c>
      <c r="AA43">
        <f>HYPERLINK("https://klasma.github.io/Logging_0760/tillsyn/A 5721-2026 tillsynsbegäran.docx", "A 5721-2026")</f>
        <v/>
      </c>
      <c r="AB43">
        <f>HYPERLINK("https://klasma.github.io/Logging_0760/tillsynsmail/A 5721-2026 tillsynsbegäran mail.docx", "A 5721-2026")</f>
        <v/>
      </c>
    </row>
    <row r="44" ht="15" customHeight="1">
      <c r="A44" t="inlineStr">
        <is>
          <t>A 32944-2024</t>
        </is>
      </c>
      <c r="B44" t="inlineStr">
        <is>
          <t>avverkningsanmälan</t>
        </is>
      </c>
      <c r="C44" t="inlineStr">
        <is>
          <t>Föryngringsavverkning</t>
        </is>
      </c>
      <c r="D44" s="1" t="n">
        <v>45517</v>
      </c>
      <c r="E44" s="1" t="n">
        <v>46217</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s="2" t="inlineStr">
        <is>
          <t>Blåmossa
Revlummer</t>
        </is>
      </c>
      <c r="V44">
        <f>HYPERLINK("https://klasma.github.io/Logging_0760/artfynd/A 32944-2024 artfynd.xlsx", "A 32944-2024")</f>
        <v/>
      </c>
      <c r="W44">
        <f>HYPERLINK("https://klasma.github.io/Logging_0760/kartor/A 32944-2024 karta.png", "A 32944-2024")</f>
        <v/>
      </c>
      <c r="Y44">
        <f>HYPERLINK("https://klasma.github.io/Logging_0760/klagomål/A 32944-2024 FSC-klagomål.docx", "A 32944-2024")</f>
        <v/>
      </c>
      <c r="Z44">
        <f>HYPERLINK("https://klasma.github.io/Logging_0760/klagomålsmail/A 32944-2024 FSC-klagomål mail.docx", "A 32944-2024")</f>
        <v/>
      </c>
      <c r="AA44">
        <f>HYPERLINK("https://klasma.github.io/Logging_0760/tillsyn/A 32944-2024 tillsynsbegäran.docx", "A 32944-2024")</f>
        <v/>
      </c>
      <c r="AB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46217</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s="2" t="inlineStr">
        <is>
          <t>Grönpyrola
Mattlummer</t>
        </is>
      </c>
      <c r="V45">
        <f>HYPERLINK("https://klasma.github.io/Logging_0760/artfynd/A 15743-2024 artfynd.xlsx", "A 15743-2024")</f>
        <v/>
      </c>
      <c r="W45">
        <f>HYPERLINK("https://klasma.github.io/Logging_0760/kartor/A 15743-2024 karta.png", "A 15743-2024")</f>
        <v/>
      </c>
      <c r="Y45">
        <f>HYPERLINK("https://klasma.github.io/Logging_0760/klagomål/A 15743-2024 FSC-klagomål.docx", "A 15743-2024")</f>
        <v/>
      </c>
      <c r="Z45">
        <f>HYPERLINK("https://klasma.github.io/Logging_0760/klagomålsmail/A 15743-2024 FSC-klagomål mail.docx", "A 15743-2024")</f>
        <v/>
      </c>
      <c r="AA45">
        <f>HYPERLINK("https://klasma.github.io/Logging_0760/tillsyn/A 15743-2024 tillsynsbegäran.docx", "A 15743-2024")</f>
        <v/>
      </c>
      <c r="AB45">
        <f>HYPERLINK("https://klasma.github.io/Logging_0760/tillsynsmail/A 15743-2024 tillsynsbegäran mail.docx", "A 15743-2024")</f>
        <v/>
      </c>
    </row>
    <row r="46" ht="15" customHeight="1">
      <c r="A46" t="inlineStr">
        <is>
          <t>A 1917-2023</t>
        </is>
      </c>
      <c r="B46" t="inlineStr">
        <is>
          <t>avverkningsanmälan</t>
        </is>
      </c>
      <c r="C46" t="inlineStr">
        <is>
          <t>Avverkning för annat ändamål</t>
        </is>
      </c>
      <c r="D46" s="1" t="n">
        <v>44937</v>
      </c>
      <c r="E46" s="1" t="n">
        <v>46217</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s="2" t="inlineStr">
        <is>
          <t>Skogsödla
Revlummer</t>
        </is>
      </c>
      <c r="V46">
        <f>HYPERLINK("https://klasma.github.io/Logging_0760/artfynd/A 1917-2023 artfynd.xlsx", "A 1917-2023")</f>
        <v/>
      </c>
      <c r="W46">
        <f>HYPERLINK("https://klasma.github.io/Logging_0760/kartor/A 1917-2023 karta.png", "A 1917-2023")</f>
        <v/>
      </c>
      <c r="Y46">
        <f>HYPERLINK("https://klasma.github.io/Logging_0760/klagomål/A 1917-2023 FSC-klagomål.docx", "A 1917-2023")</f>
        <v/>
      </c>
      <c r="Z46">
        <f>HYPERLINK("https://klasma.github.io/Logging_0760/klagomålsmail/A 1917-2023 FSC-klagomål mail.docx", "A 1917-2023")</f>
        <v/>
      </c>
      <c r="AA46">
        <f>HYPERLINK("https://klasma.github.io/Logging_0760/tillsyn/A 1917-2023 tillsynsbegäran.docx", "A 1917-2023")</f>
        <v/>
      </c>
      <c r="AB46">
        <f>HYPERLINK("https://klasma.github.io/Logging_0760/tillsynsmail/A 1917-2023 tillsynsbegäran mail.docx", "A 1917-2023")</f>
        <v/>
      </c>
    </row>
    <row r="47" ht="15" customHeight="1">
      <c r="A47" t="inlineStr">
        <is>
          <t>A 24410-2026</t>
        </is>
      </c>
      <c r="B47" t="inlineStr">
        <is>
          <t>avverkningsanmälan</t>
        </is>
      </c>
      <c r="C47" t="inlineStr">
        <is>
          <t>Föryngringsavverkning</t>
        </is>
      </c>
      <c r="D47" s="1" t="n">
        <v>46169</v>
      </c>
      <c r="E47" s="1" t="n">
        <v>46217</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s="2" t="inlineStr">
        <is>
          <t>Brunlångöra
Nordfladdermus</t>
        </is>
      </c>
      <c r="V47">
        <f>HYPERLINK("https://klasma.github.io/Logging_0760/artfynd/A 24410-2026 artfynd.xlsx", "A 24410-2026")</f>
        <v/>
      </c>
      <c r="W47">
        <f>HYPERLINK("https://klasma.github.io/Logging_0760/kartor/A 24410-2026 karta.png", "A 24410-2026")</f>
        <v/>
      </c>
      <c r="Y47">
        <f>HYPERLINK("https://klasma.github.io/Logging_0760/klagomål/A 24410-2026 FSC-klagomål.docx", "A 24410-2026")</f>
        <v/>
      </c>
      <c r="Z47">
        <f>HYPERLINK("https://klasma.github.io/Logging_0760/klagomålsmail/A 24410-2026 FSC-klagomål mail.docx", "A 24410-2026")</f>
        <v/>
      </c>
      <c r="AA47">
        <f>HYPERLINK("https://klasma.github.io/Logging_0760/tillsyn/A 24410-2026 tillsynsbegäran.docx", "A 24410-2026")</f>
        <v/>
      </c>
      <c r="AB47">
        <f>HYPERLINK("https://klasma.github.io/Logging_0760/tillsynsmail/A 24410-2026 tillsynsbegäran mail.docx", "A 24410-2026")</f>
        <v/>
      </c>
    </row>
    <row r="48" ht="15" customHeight="1">
      <c r="A48" t="inlineStr">
        <is>
          <t>A 30709-2026</t>
        </is>
      </c>
      <c r="B48" t="inlineStr">
        <is>
          <t>avverkningsanmälan</t>
        </is>
      </c>
      <c r="C48" t="inlineStr">
        <is>
          <t>Föryngringsavverkning</t>
        </is>
      </c>
      <c r="D48" s="1" t="n">
        <v>46205</v>
      </c>
      <c r="E48" s="1" t="n">
        <v>46217</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s="2" t="inlineStr">
        <is>
          <t>Ullticka
Spillkråka</t>
        </is>
      </c>
      <c r="V48">
        <f>HYPERLINK("https://klasma.github.io/Logging_0760/artfynd/A 30709-2026 artfynd.xlsx", "A 30709-2026")</f>
        <v/>
      </c>
      <c r="W48">
        <f>HYPERLINK("https://klasma.github.io/Logging_0760/kartor/A 30709-2026 karta.png", "A 30709-2026")</f>
        <v/>
      </c>
      <c r="Y48">
        <f>HYPERLINK("https://klasma.github.io/Logging_0760/klagomål/A 30709-2026 FSC-klagomål.docx", "A 30709-2026")</f>
        <v/>
      </c>
      <c r="Z48">
        <f>HYPERLINK("https://klasma.github.io/Logging_0760/klagomålsmail/A 30709-2026 FSC-klagomål mail.docx", "A 30709-2026")</f>
        <v/>
      </c>
      <c r="AA48">
        <f>HYPERLINK("https://klasma.github.io/Logging_0760/tillsyn/A 30709-2026 tillsynsbegäran.docx", "A 30709-2026")</f>
        <v/>
      </c>
      <c r="AB48">
        <f>HYPERLINK("https://klasma.github.io/Logging_0760/tillsynsmail/A 30709-2026 tillsynsbegäran mail.docx", "A 30709-2026")</f>
        <v/>
      </c>
      <c r="AC48">
        <f>HYPERLINK("https://klasma.github.io/Logging_0760/fåglar/A 30709-2026 prioriterade fågelarter.docx", "A 30709-2026")</f>
        <v/>
      </c>
    </row>
    <row r="49" ht="15" customHeight="1">
      <c r="A49" t="inlineStr">
        <is>
          <t>A 3607-2024</t>
        </is>
      </c>
      <c r="B49" t="inlineStr">
        <is>
          <t>avverkningsanmälan</t>
        </is>
      </c>
      <c r="C49" t="inlineStr">
        <is>
          <t>Föryngringsavverkning</t>
        </is>
      </c>
      <c r="D49" s="1" t="n">
        <v>45320</v>
      </c>
      <c r="E49" s="1" t="n">
        <v>46217</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s="2" t="inlineStr">
        <is>
          <t>Fjällig taggsvamp s.str.
Skarp dropptaggsvamp</t>
        </is>
      </c>
      <c r="V49">
        <f>HYPERLINK("https://klasma.github.io/Logging_0760/artfynd/A 3607-2024 artfynd.xlsx", "A 3607-2024")</f>
        <v/>
      </c>
      <c r="W49">
        <f>HYPERLINK("https://klasma.github.io/Logging_0760/kartor/A 3607-2024 karta.png", "A 3607-2024")</f>
        <v/>
      </c>
      <c r="Y49">
        <f>HYPERLINK("https://klasma.github.io/Logging_0760/klagomål/A 3607-2024 FSC-klagomål.docx", "A 3607-2024")</f>
        <v/>
      </c>
      <c r="Z49">
        <f>HYPERLINK("https://klasma.github.io/Logging_0760/klagomålsmail/A 3607-2024 FSC-klagomål mail.docx", "A 3607-2024")</f>
        <v/>
      </c>
      <c r="AA49">
        <f>HYPERLINK("https://klasma.github.io/Logging_0760/tillsyn/A 3607-2024 tillsynsbegäran.docx", "A 3607-2024")</f>
        <v/>
      </c>
      <c r="AB49">
        <f>HYPERLINK("https://klasma.github.io/Logging_0760/tillsynsmail/A 3607-2024 tillsynsbegäran mail.docx", "A 3607-2024")</f>
        <v/>
      </c>
    </row>
    <row r="50" ht="15" customHeight="1">
      <c r="A50" t="inlineStr">
        <is>
          <t>A 51447-2024</t>
        </is>
      </c>
      <c r="B50" t="inlineStr">
        <is>
          <t>avverkningsanmälan</t>
        </is>
      </c>
      <c r="C50" t="inlineStr">
        <is>
          <t>Föryngringsavverkning</t>
        </is>
      </c>
      <c r="D50" s="1" t="n">
        <v>45604</v>
      </c>
      <c r="E50" s="1" t="n">
        <v>46217</v>
      </c>
      <c r="F50" t="inlineStr">
        <is>
          <t>KRONOBERGS LÄN</t>
        </is>
      </c>
      <c r="G50" t="inlineStr">
        <is>
          <t>UPPVIDINGE</t>
        </is>
      </c>
      <c r="I50" t="n">
        <v>1.1</v>
      </c>
      <c r="J50" t="n">
        <v>1</v>
      </c>
      <c r="K50" t="n">
        <v>1</v>
      </c>
      <c r="L50" t="n">
        <v>0</v>
      </c>
      <c r="M50" t="n">
        <v>0</v>
      </c>
      <c r="N50" t="n">
        <v>0</v>
      </c>
      <c r="O50" t="n">
        <v>0</v>
      </c>
      <c r="P50" t="n">
        <v>0</v>
      </c>
      <c r="Q50" t="n">
        <v>0</v>
      </c>
      <c r="R50" t="n">
        <v>0</v>
      </c>
      <c r="S50" t="n">
        <v>2</v>
      </c>
      <c r="T50" t="n">
        <v>2</v>
      </c>
      <c r="U50" s="2" t="inlineStr">
        <is>
          <t>Trådticka
Tjäder</t>
        </is>
      </c>
      <c r="V50">
        <f>HYPERLINK("https://klasma.github.io/Logging_0760/artfynd/A 51447-2024 artfynd.xlsx", "A 51447-2024")</f>
        <v/>
      </c>
      <c r="W50">
        <f>HYPERLINK("https://klasma.github.io/Logging_0760/kartor/A 51447-2024 karta.png", "A 51447-2024")</f>
        <v/>
      </c>
      <c r="Y50">
        <f>HYPERLINK("https://klasma.github.io/Logging_0760/klagomål/A 51447-2024 FSC-klagomål.docx", "A 51447-2024")</f>
        <v/>
      </c>
      <c r="Z50">
        <f>HYPERLINK("https://klasma.github.io/Logging_0760/klagomålsmail/A 51447-2024 FSC-klagomål mail.docx", "A 51447-2024")</f>
        <v/>
      </c>
      <c r="AA50">
        <f>HYPERLINK("https://klasma.github.io/Logging_0760/tillsyn/A 51447-2024 tillsynsbegäran.docx", "A 51447-2024")</f>
        <v/>
      </c>
      <c r="AB50">
        <f>HYPERLINK("https://klasma.github.io/Logging_0760/tillsynsmail/A 51447-2024 tillsynsbegäran mail.docx", "A 51447-2024")</f>
        <v/>
      </c>
      <c r="AC50">
        <f>HYPERLINK("https://klasma.github.io/Logging_0760/fåglar/A 51447-2024 prioriterade fågelarter.docx", "A 51447-2024")</f>
        <v/>
      </c>
    </row>
    <row r="51" ht="15" customHeight="1">
      <c r="A51" t="inlineStr">
        <is>
          <t>A 42930-2022</t>
        </is>
      </c>
      <c r="B51" t="inlineStr">
        <is>
          <t>avverkningsanmälan</t>
        </is>
      </c>
      <c r="C51" t="inlineStr">
        <is>
          <t>Föryngringsavverkning</t>
        </is>
      </c>
      <c r="D51" s="1" t="n">
        <v>44833</v>
      </c>
      <c r="E51" s="1" t="n">
        <v>46217</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s="2" t="inlineStr">
        <is>
          <t>Solvända
Fläcknycklar</t>
        </is>
      </c>
      <c r="V51">
        <f>HYPERLINK("https://klasma.github.io/Logging_0760/artfynd/A 42930-2022 artfynd.xlsx", "A 42930-2022")</f>
        <v/>
      </c>
      <c r="W51">
        <f>HYPERLINK("https://klasma.github.io/Logging_0760/kartor/A 42930-2022 karta.png", "A 42930-2022")</f>
        <v/>
      </c>
      <c r="Y51">
        <f>HYPERLINK("https://klasma.github.io/Logging_0760/klagomål/A 42930-2022 FSC-klagomål.docx", "A 42930-2022")</f>
        <v/>
      </c>
      <c r="Z51">
        <f>HYPERLINK("https://klasma.github.io/Logging_0760/klagomålsmail/A 42930-2022 FSC-klagomål mail.docx", "A 42930-2022")</f>
        <v/>
      </c>
      <c r="AA51">
        <f>HYPERLINK("https://klasma.github.io/Logging_0760/tillsyn/A 42930-2022 tillsynsbegäran.docx", "A 42930-2022")</f>
        <v/>
      </c>
      <c r="AB51">
        <f>HYPERLINK("https://klasma.github.io/Logging_0760/tillsynsmail/A 42930-2022 tillsynsbegäran mail.docx", "A 42930-2022")</f>
        <v/>
      </c>
    </row>
    <row r="52" ht="15" customHeight="1">
      <c r="A52" t="inlineStr">
        <is>
          <t>S 604-2023</t>
        </is>
      </c>
      <c r="B52" t="inlineStr">
        <is>
          <t>samrådsanmälan</t>
        </is>
      </c>
      <c r="C52" t="inlineStr">
        <is>
          <t>Askåterföring</t>
        </is>
      </c>
      <c r="D52" s="1" t="n">
        <v>44972</v>
      </c>
      <c r="E52" s="1" t="n">
        <v>46217</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s="2" t="inlineStr">
        <is>
          <t>Liten blekspik
Rävticka</t>
        </is>
      </c>
      <c r="V52">
        <f>HYPERLINK("https://klasma.github.io/Logging_0760/artfynd/S 604-2023 artfynd.xlsx", "S 604-2023")</f>
        <v/>
      </c>
      <c r="W52">
        <f>HYPERLINK("https://klasma.github.io/Logging_0760/kartor/S 604-2023 karta.png", "S 604-2023")</f>
        <v/>
      </c>
      <c r="Y52">
        <f>HYPERLINK("https://klasma.github.io/Logging_0760/klagomål/S 604-2023 FSC-klagomål.docx", "S 604-2023")</f>
        <v/>
      </c>
      <c r="Z52">
        <f>HYPERLINK("https://klasma.github.io/Logging_0760/klagomålsmail/S 604-2023 FSC-klagomål mail.docx", "S 604-2023")</f>
        <v/>
      </c>
      <c r="AA52">
        <f>HYPERLINK("https://klasma.github.io/Logging_0760/tillsyn/S 604-2023 tillsynsbegäran.docx", "S 604-2023")</f>
        <v/>
      </c>
      <c r="AB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46217</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s="2" t="inlineStr">
        <is>
          <t>Talltita
Korallrot</t>
        </is>
      </c>
      <c r="V53">
        <f>HYPERLINK("https://klasma.github.io/Logging_0760/artfynd/S 616-2023 artfynd.xlsx", "S 616-2023")</f>
        <v/>
      </c>
      <c r="W53">
        <f>HYPERLINK("https://klasma.github.io/Logging_0760/kartor/S 616-2023 karta.png", "S 616-2023")</f>
        <v/>
      </c>
      <c r="Y53">
        <f>HYPERLINK("https://klasma.github.io/Logging_0760/klagomål/S 616-2023 FSC-klagomål.docx", "S 616-2023")</f>
        <v/>
      </c>
      <c r="Z53">
        <f>HYPERLINK("https://klasma.github.io/Logging_0760/klagomålsmail/S 616-2023 FSC-klagomål mail.docx", "S 616-2023")</f>
        <v/>
      </c>
      <c r="AA53">
        <f>HYPERLINK("https://klasma.github.io/Logging_0760/tillsyn/S 616-2023 tillsynsbegäran.docx", "S 616-2023")</f>
        <v/>
      </c>
      <c r="AB53">
        <f>HYPERLINK("https://klasma.github.io/Logging_0760/tillsynsmail/S 616-2023 tillsynsbegäran mail.docx", "S 616-2023")</f>
        <v/>
      </c>
      <c r="AC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46217</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s="2" t="inlineStr">
        <is>
          <t>Slåttergubbe
Spindelört</t>
        </is>
      </c>
      <c r="V54">
        <f>HYPERLINK("https://klasma.github.io/Logging_0760/artfynd/S 7923-2021 artfynd.xlsx", "S 7923-2021")</f>
        <v/>
      </c>
      <c r="W54">
        <f>HYPERLINK("https://klasma.github.io/Logging_0760/kartor/S 7923-2021 karta.png", "S 7923-2021")</f>
        <v/>
      </c>
      <c r="Y54">
        <f>HYPERLINK("https://klasma.github.io/Logging_0760/klagomål/S 7923-2021 FSC-klagomål.docx", "S 7923-2021")</f>
        <v/>
      </c>
      <c r="Z54">
        <f>HYPERLINK("https://klasma.github.io/Logging_0760/klagomålsmail/S 7923-2021 FSC-klagomål mail.docx", "S 7923-2021")</f>
        <v/>
      </c>
      <c r="AA54">
        <f>HYPERLINK("https://klasma.github.io/Logging_0760/tillsyn/S 7923-2021 tillsynsbegäran.docx", "S 7923-2021")</f>
        <v/>
      </c>
      <c r="AB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46217</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s="2" t="inlineStr">
        <is>
          <t>Knärot
Revlummer</t>
        </is>
      </c>
      <c r="V55">
        <f>HYPERLINK("https://klasma.github.io/Logging_0760/artfynd/S 1485-2025 artfynd.xlsx", "S 1485-2025")</f>
        <v/>
      </c>
      <c r="W55">
        <f>HYPERLINK("https://klasma.github.io/Logging_0760/kartor/S 1485-2025 karta.png", "S 1485-2025")</f>
        <v/>
      </c>
      <c r="X55">
        <f>HYPERLINK("https://klasma.github.io/Logging_0760/knärot/S 1485-2025 karta knärot.png", "S 1485-2025")</f>
        <v/>
      </c>
      <c r="Y55">
        <f>HYPERLINK("https://klasma.github.io/Logging_0760/klagomål/S 1485-2025 FSC-klagomål.docx", "S 1485-2025")</f>
        <v/>
      </c>
      <c r="Z55">
        <f>HYPERLINK("https://klasma.github.io/Logging_0760/klagomålsmail/S 1485-2025 FSC-klagomål mail.docx", "S 1485-2025")</f>
        <v/>
      </c>
      <c r="AA55">
        <f>HYPERLINK("https://klasma.github.io/Logging_0760/tillsyn/S 1485-2025 tillsynsbegäran.docx", "S 1485-2025")</f>
        <v/>
      </c>
      <c r="AB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46217</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s="2" t="inlineStr">
        <is>
          <t>Dropptaggsvamp</t>
        </is>
      </c>
      <c r="V56">
        <f>HYPERLINK("https://klasma.github.io/Logging_0760/artfynd/A 25926-2022 artfynd.xlsx", "A 25926-2022")</f>
        <v/>
      </c>
      <c r="W56">
        <f>HYPERLINK("https://klasma.github.io/Logging_0760/kartor/A 25926-2022 karta.png", "A 25926-2022")</f>
        <v/>
      </c>
      <c r="Y56">
        <f>HYPERLINK("https://klasma.github.io/Logging_0760/klagomål/A 25926-2022 FSC-klagomål.docx", "A 25926-2022")</f>
        <v/>
      </c>
      <c r="Z56">
        <f>HYPERLINK("https://klasma.github.io/Logging_0760/klagomålsmail/A 25926-2022 FSC-klagomål mail.docx", "A 25926-2022")</f>
        <v/>
      </c>
      <c r="AA56">
        <f>HYPERLINK("https://klasma.github.io/Logging_0760/tillsyn/A 25926-2022 tillsynsbegäran.docx", "A 25926-2022")</f>
        <v/>
      </c>
      <c r="AB56">
        <f>HYPERLINK("https://klasma.github.io/Logging_0760/tillsynsmail/A 25926-2022 tillsynsbegäran mail.docx", "A 25926-2022")</f>
        <v/>
      </c>
    </row>
    <row r="57" ht="15" customHeight="1">
      <c r="A57" t="inlineStr">
        <is>
          <t>A 41652-2022</t>
        </is>
      </c>
      <c r="B57" t="inlineStr">
        <is>
          <t>avverkningsanmälan</t>
        </is>
      </c>
      <c r="C57" t="inlineStr">
        <is>
          <t>Föryngringsavverkning</t>
        </is>
      </c>
      <c r="D57" s="1" t="n">
        <v>44827</v>
      </c>
      <c r="E57" s="1" t="n">
        <v>46217</v>
      </c>
      <c r="F57" t="inlineStr">
        <is>
          <t>KRONOBERGS LÄN</t>
        </is>
      </c>
      <c r="G57" t="inlineStr">
        <is>
          <t>UPPVIDINGE</t>
        </is>
      </c>
      <c r="I57" t="n">
        <v>1.1</v>
      </c>
      <c r="J57" t="n">
        <v>1</v>
      </c>
      <c r="K57" t="n">
        <v>0</v>
      </c>
      <c r="L57" t="n">
        <v>0</v>
      </c>
      <c r="M57" t="n">
        <v>0</v>
      </c>
      <c r="N57" t="n">
        <v>0</v>
      </c>
      <c r="O57" t="n">
        <v>0</v>
      </c>
      <c r="P57" t="n">
        <v>0</v>
      </c>
      <c r="Q57" t="n">
        <v>0</v>
      </c>
      <c r="R57" t="n">
        <v>0</v>
      </c>
      <c r="S57" t="n">
        <v>1</v>
      </c>
      <c r="T57" t="n">
        <v>1</v>
      </c>
      <c r="U57" s="2" t="inlineStr">
        <is>
          <t>Sankt pers nycklar</t>
        </is>
      </c>
      <c r="V57">
        <f>HYPERLINK("https://klasma.github.io/Logging_0760/artfynd/A 41652-2022 artfynd.xlsx", "A 41652-2022")</f>
        <v/>
      </c>
      <c r="W57">
        <f>HYPERLINK("https://klasma.github.io/Logging_0760/kartor/A 41652-2022 karta.png", "A 41652-2022")</f>
        <v/>
      </c>
      <c r="Y57">
        <f>HYPERLINK("https://klasma.github.io/Logging_0760/klagomål/A 41652-2022 FSC-klagomål.docx", "A 41652-2022")</f>
        <v/>
      </c>
      <c r="Z57">
        <f>HYPERLINK("https://klasma.github.io/Logging_0760/klagomålsmail/A 41652-2022 FSC-klagomål mail.docx", "A 41652-2022")</f>
        <v/>
      </c>
      <c r="AA57">
        <f>HYPERLINK("https://klasma.github.io/Logging_0760/tillsyn/A 41652-2022 tillsynsbegäran.docx", "A 41652-2022")</f>
        <v/>
      </c>
      <c r="AB57">
        <f>HYPERLINK("https://klasma.github.io/Logging_0760/tillsynsmail/A 41652-2022 tillsynsbegäran mail.docx", "A 41652-2022")</f>
        <v/>
      </c>
    </row>
    <row r="58" ht="15" customHeight="1">
      <c r="A58" t="inlineStr">
        <is>
          <t>A 18896-2022</t>
        </is>
      </c>
      <c r="B58" t="inlineStr">
        <is>
          <t>avverkningsanmälan</t>
        </is>
      </c>
      <c r="C58" t="inlineStr">
        <is>
          <t>Föryngringsavverkning</t>
        </is>
      </c>
      <c r="D58" s="1" t="n">
        <v>44690</v>
      </c>
      <c r="E58" s="1" t="n">
        <v>46217</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s="2" t="inlineStr">
        <is>
          <t>Kungsfågel</t>
        </is>
      </c>
      <c r="V58">
        <f>HYPERLINK("https://klasma.github.io/Logging_0760/artfynd/A 18896-2022 artfynd.xlsx", "A 18896-2022")</f>
        <v/>
      </c>
      <c r="W58">
        <f>HYPERLINK("https://klasma.github.io/Logging_0760/kartor/A 18896-2022 karta.png", "A 18896-2022")</f>
        <v/>
      </c>
      <c r="Y58">
        <f>HYPERLINK("https://klasma.github.io/Logging_0760/klagomål/A 18896-2022 FSC-klagomål.docx", "A 18896-2022")</f>
        <v/>
      </c>
      <c r="Z58">
        <f>HYPERLINK("https://klasma.github.io/Logging_0760/klagomålsmail/A 18896-2022 FSC-klagomål mail.docx", "A 18896-2022")</f>
        <v/>
      </c>
      <c r="AA58">
        <f>HYPERLINK("https://klasma.github.io/Logging_0760/tillsyn/A 18896-2022 tillsynsbegäran.docx", "A 18896-2022")</f>
        <v/>
      </c>
      <c r="AB58">
        <f>HYPERLINK("https://klasma.github.io/Logging_0760/tillsynsmail/A 18896-2022 tillsynsbegäran mail.docx", "A 18896-2022")</f>
        <v/>
      </c>
    </row>
    <row r="59" ht="15" customHeight="1">
      <c r="A59" t="inlineStr">
        <is>
          <t>A 33348-2022</t>
        </is>
      </c>
      <c r="B59" t="inlineStr">
        <is>
          <t>avverkningsanmälan</t>
        </is>
      </c>
      <c r="C59" t="inlineStr">
        <is>
          <t>Föryngringsavverkning</t>
        </is>
      </c>
      <c r="D59" s="1" t="n">
        <v>44788</v>
      </c>
      <c r="E59" s="1" t="n">
        <v>46217</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s="2" t="inlineStr">
        <is>
          <t>Blåmossa</t>
        </is>
      </c>
      <c r="V59">
        <f>HYPERLINK("https://klasma.github.io/Logging_0760/artfynd/A 33348-2022 artfynd.xlsx", "A 33348-2022")</f>
        <v/>
      </c>
      <c r="W59">
        <f>HYPERLINK("https://klasma.github.io/Logging_0760/kartor/A 33348-2022 karta.png", "A 33348-2022")</f>
        <v/>
      </c>
      <c r="Y59">
        <f>HYPERLINK("https://klasma.github.io/Logging_0760/klagomål/A 33348-2022 FSC-klagomål.docx", "A 33348-2022")</f>
        <v/>
      </c>
      <c r="Z59">
        <f>HYPERLINK("https://klasma.github.io/Logging_0760/klagomålsmail/A 33348-2022 FSC-klagomål mail.docx", "A 33348-2022")</f>
        <v/>
      </c>
      <c r="AA59">
        <f>HYPERLINK("https://klasma.github.io/Logging_0760/tillsyn/A 33348-2022 tillsynsbegäran.docx", "A 33348-2022")</f>
        <v/>
      </c>
      <c r="AB59">
        <f>HYPERLINK("https://klasma.github.io/Logging_0760/tillsynsmail/A 33348-2022 tillsynsbegäran mail.docx", "A 33348-2022")</f>
        <v/>
      </c>
    </row>
    <row r="60" ht="15" customHeight="1">
      <c r="A60" t="inlineStr">
        <is>
          <t>A 3677-2023</t>
        </is>
      </c>
      <c r="B60" t="inlineStr">
        <is>
          <t>avverkningsanmälan</t>
        </is>
      </c>
      <c r="C60" t="inlineStr">
        <is>
          <t>Föryngringsavverkning</t>
        </is>
      </c>
      <c r="D60" s="1" t="n">
        <v>44950</v>
      </c>
      <c r="E60" s="1" t="n">
        <v>46217</v>
      </c>
      <c r="F60" t="inlineStr">
        <is>
          <t>KRONOBERGS LÄN</t>
        </is>
      </c>
      <c r="G60" t="inlineStr">
        <is>
          <t>UPPVIDINGE</t>
        </is>
      </c>
      <c r="I60" t="n">
        <v>13.4</v>
      </c>
      <c r="J60" t="n">
        <v>0</v>
      </c>
      <c r="K60" t="n">
        <v>1</v>
      </c>
      <c r="L60" t="n">
        <v>0</v>
      </c>
      <c r="M60" t="n">
        <v>0</v>
      </c>
      <c r="N60" t="n">
        <v>0</v>
      </c>
      <c r="O60" t="n">
        <v>0</v>
      </c>
      <c r="P60" t="n">
        <v>0</v>
      </c>
      <c r="Q60" t="n">
        <v>0</v>
      </c>
      <c r="R60" t="n">
        <v>0</v>
      </c>
      <c r="S60" t="n">
        <v>1</v>
      </c>
      <c r="T60" t="n">
        <v>1</v>
      </c>
      <c r="U60" s="2" t="inlineStr">
        <is>
          <t>Blomkålssvamp</t>
        </is>
      </c>
      <c r="V60">
        <f>HYPERLINK("https://klasma.github.io/Logging_0760/artfynd/A 3677-2023 artfynd.xlsx", "A 3677-2023")</f>
        <v/>
      </c>
      <c r="W60">
        <f>HYPERLINK("https://klasma.github.io/Logging_0760/kartor/A 3677-2023 karta.png", "A 3677-2023")</f>
        <v/>
      </c>
      <c r="Y60">
        <f>HYPERLINK("https://klasma.github.io/Logging_0760/klagomål/A 3677-2023 FSC-klagomål.docx", "A 3677-2023")</f>
        <v/>
      </c>
      <c r="Z60">
        <f>HYPERLINK("https://klasma.github.io/Logging_0760/klagomålsmail/A 3677-2023 FSC-klagomål mail.docx", "A 3677-2023")</f>
        <v/>
      </c>
      <c r="AA60">
        <f>HYPERLINK("https://klasma.github.io/Logging_0760/tillsyn/A 3677-2023 tillsynsbegäran.docx", "A 3677-2023")</f>
        <v/>
      </c>
      <c r="AB60">
        <f>HYPERLINK("https://klasma.github.io/Logging_0760/tillsynsmail/A 3677-2023 tillsynsbegäran mail.docx", "A 3677-2023")</f>
        <v/>
      </c>
    </row>
    <row r="61" ht="15" customHeight="1">
      <c r="A61" t="inlineStr">
        <is>
          <t>A 73118-2021</t>
        </is>
      </c>
      <c r="B61" t="inlineStr">
        <is>
          <t>avverkningsanmälan</t>
        </is>
      </c>
      <c r="C61" t="inlineStr">
        <is>
          <t>Föryngringsavverkning</t>
        </is>
      </c>
      <c r="D61" s="1" t="n">
        <v>44550</v>
      </c>
      <c r="E61" s="1" t="n">
        <v>46217</v>
      </c>
      <c r="F61" t="inlineStr">
        <is>
          <t>KRONOBERGS LÄN</t>
        </is>
      </c>
      <c r="G61" t="inlineStr">
        <is>
          <t>UPPVIDINGE</t>
        </is>
      </c>
      <c r="I61" t="n">
        <v>1.3</v>
      </c>
      <c r="J61" t="n">
        <v>1</v>
      </c>
      <c r="K61" t="n">
        <v>0</v>
      </c>
      <c r="L61" t="n">
        <v>0</v>
      </c>
      <c r="M61" t="n">
        <v>0</v>
      </c>
      <c r="N61" t="n">
        <v>0</v>
      </c>
      <c r="O61" t="n">
        <v>0</v>
      </c>
      <c r="P61" t="n">
        <v>0</v>
      </c>
      <c r="Q61" t="n">
        <v>0</v>
      </c>
      <c r="R61" t="n">
        <v>0</v>
      </c>
      <c r="S61" t="n">
        <v>1</v>
      </c>
      <c r="T61" t="n">
        <v>1</v>
      </c>
      <c r="U61" s="2" t="inlineStr">
        <is>
          <t>Mattlummer</t>
        </is>
      </c>
      <c r="V61">
        <f>HYPERLINK("https://klasma.github.io/Logging_0760/artfynd/A 73118-2021 artfynd.xlsx", "A 73118-2021")</f>
        <v/>
      </c>
      <c r="W61">
        <f>HYPERLINK("https://klasma.github.io/Logging_0760/kartor/A 73118-2021 karta.png", "A 73118-2021")</f>
        <v/>
      </c>
      <c r="Y61">
        <f>HYPERLINK("https://klasma.github.io/Logging_0760/klagomål/A 73118-2021 FSC-klagomål.docx", "A 73118-2021")</f>
        <v/>
      </c>
      <c r="Z61">
        <f>HYPERLINK("https://klasma.github.io/Logging_0760/klagomålsmail/A 73118-2021 FSC-klagomål mail.docx", "A 73118-2021")</f>
        <v/>
      </c>
      <c r="AA61">
        <f>HYPERLINK("https://klasma.github.io/Logging_0760/tillsyn/A 73118-2021 tillsynsbegäran.docx", "A 73118-2021")</f>
        <v/>
      </c>
      <c r="AB61">
        <f>HYPERLINK("https://klasma.github.io/Logging_0760/tillsynsmail/A 73118-2021 tillsynsbegäran mail.docx", "A 73118-2021")</f>
        <v/>
      </c>
    </row>
    <row r="62" ht="15" customHeight="1">
      <c r="A62" t="inlineStr">
        <is>
          <t>A 20488-2024</t>
        </is>
      </c>
      <c r="B62" t="inlineStr">
        <is>
          <t>avverkningsanmälan</t>
        </is>
      </c>
      <c r="C62" t="inlineStr">
        <is>
          <t>Föryngringsavverkning</t>
        </is>
      </c>
      <c r="D62" s="1" t="n">
        <v>45435</v>
      </c>
      <c r="E62" s="1" t="n">
        <v>46217</v>
      </c>
      <c r="F62" t="inlineStr">
        <is>
          <t>KRONOBERGS LÄN</t>
        </is>
      </c>
      <c r="G62" t="inlineStr">
        <is>
          <t>UPPVIDINGE</t>
        </is>
      </c>
      <c r="H62" t="inlineStr">
        <is>
          <t>Sveaskog</t>
        </is>
      </c>
      <c r="I62" t="n">
        <v>3.6</v>
      </c>
      <c r="J62" t="n">
        <v>1</v>
      </c>
      <c r="K62" t="n">
        <v>0</v>
      </c>
      <c r="L62" t="n">
        <v>0</v>
      </c>
      <c r="M62" t="n">
        <v>0</v>
      </c>
      <c r="N62" t="n">
        <v>0</v>
      </c>
      <c r="O62" t="n">
        <v>0</v>
      </c>
      <c r="P62" t="n">
        <v>0</v>
      </c>
      <c r="Q62" t="n">
        <v>0</v>
      </c>
      <c r="R62" t="n">
        <v>0</v>
      </c>
      <c r="S62" t="n">
        <v>1</v>
      </c>
      <c r="T62" t="n">
        <v>1</v>
      </c>
      <c r="U62" s="2" t="inlineStr">
        <is>
          <t>Tjäder</t>
        </is>
      </c>
      <c r="V62">
        <f>HYPERLINK("https://klasma.github.io/Logging_0760/artfynd/A 20488-2024 artfynd.xlsx", "A 20488-2024")</f>
        <v/>
      </c>
      <c r="W62">
        <f>HYPERLINK("https://klasma.github.io/Logging_0760/kartor/A 20488-2024 karta.png", "A 20488-2024")</f>
        <v/>
      </c>
      <c r="Y62">
        <f>HYPERLINK("https://klasma.github.io/Logging_0760/klagomål/A 20488-2024 FSC-klagomål.docx", "A 20488-2024")</f>
        <v/>
      </c>
      <c r="Z62">
        <f>HYPERLINK("https://klasma.github.io/Logging_0760/klagomålsmail/A 20488-2024 FSC-klagomål mail.docx", "A 20488-2024")</f>
        <v/>
      </c>
      <c r="AA62">
        <f>HYPERLINK("https://klasma.github.io/Logging_0760/tillsyn/A 20488-2024 tillsynsbegäran.docx", "A 20488-2024")</f>
        <v/>
      </c>
      <c r="AB62">
        <f>HYPERLINK("https://klasma.github.io/Logging_0760/tillsynsmail/A 20488-2024 tillsynsbegäran mail.docx", "A 20488-2024")</f>
        <v/>
      </c>
      <c r="AC62">
        <f>HYPERLINK("https://klasma.github.io/Logging_0760/fåglar/A 20488-2024 prioriterade fågelarter.docx", "A 20488-2024")</f>
        <v/>
      </c>
    </row>
    <row r="63" ht="15" customHeight="1">
      <c r="A63" t="inlineStr">
        <is>
          <t>A 55799-2024</t>
        </is>
      </c>
      <c r="B63" t="inlineStr">
        <is>
          <t>avverkningsanmälan</t>
        </is>
      </c>
      <c r="C63" t="inlineStr">
        <is>
          <t>Avverkning för att bevara och utveckla /försöksver</t>
        </is>
      </c>
      <c r="D63" s="1" t="n">
        <v>45623</v>
      </c>
      <c r="E63" s="1" t="n">
        <v>46217</v>
      </c>
      <c r="F63" t="inlineStr">
        <is>
          <t>KRONOBERGS LÄN</t>
        </is>
      </c>
      <c r="G63" t="inlineStr">
        <is>
          <t>UPPVIDINGE</t>
        </is>
      </c>
      <c r="I63" t="n">
        <v>0.7</v>
      </c>
      <c r="J63" t="n">
        <v>0</v>
      </c>
      <c r="K63" t="n">
        <v>0</v>
      </c>
      <c r="L63" t="n">
        <v>0</v>
      </c>
      <c r="M63" t="n">
        <v>1</v>
      </c>
      <c r="N63" t="n">
        <v>0</v>
      </c>
      <c r="O63" t="n">
        <v>0</v>
      </c>
      <c r="P63" t="n">
        <v>0</v>
      </c>
      <c r="Q63" t="n">
        <v>1</v>
      </c>
      <c r="R63" t="n">
        <v>1</v>
      </c>
      <c r="S63" t="n">
        <v>1</v>
      </c>
      <c r="T63" t="n">
        <v>1</v>
      </c>
      <c r="U63" s="2" t="inlineStr">
        <is>
          <t>Slåttergubbe</t>
        </is>
      </c>
      <c r="V63">
        <f>HYPERLINK("https://klasma.github.io/Logging_0760/artfynd/A 55799-2024 artfynd.xlsx", "A 55799-2024")</f>
        <v/>
      </c>
      <c r="W63">
        <f>HYPERLINK("https://klasma.github.io/Logging_0760/kartor/A 55799-2024 karta.png", "A 55799-2024")</f>
        <v/>
      </c>
      <c r="Y63">
        <f>HYPERLINK("https://klasma.github.io/Logging_0760/klagomål/A 55799-2024 FSC-klagomål.docx", "A 55799-2024")</f>
        <v/>
      </c>
      <c r="Z63">
        <f>HYPERLINK("https://klasma.github.io/Logging_0760/klagomålsmail/A 55799-2024 FSC-klagomål mail.docx", "A 55799-2024")</f>
        <v/>
      </c>
      <c r="AA63">
        <f>HYPERLINK("https://klasma.github.io/Logging_0760/tillsyn/A 55799-2024 tillsynsbegäran.docx", "A 55799-2024")</f>
        <v/>
      </c>
      <c r="AB63">
        <f>HYPERLINK("https://klasma.github.io/Logging_0760/tillsynsmail/A 55799-2024 tillsynsbegäran mail.docx", "A 55799-2024")</f>
        <v/>
      </c>
    </row>
    <row r="64" ht="15" customHeight="1">
      <c r="A64" t="inlineStr">
        <is>
          <t>A 4801-2025</t>
        </is>
      </c>
      <c r="B64" t="inlineStr">
        <is>
          <t>avverkningsanmälan</t>
        </is>
      </c>
      <c r="C64" t="inlineStr">
        <is>
          <t>Föryngringsavverkning</t>
        </is>
      </c>
      <c r="D64" s="1" t="n">
        <v>45688</v>
      </c>
      <c r="E64" s="1" t="n">
        <v>46217</v>
      </c>
      <c r="F64" t="inlineStr">
        <is>
          <t>KRONOBERGS LÄN</t>
        </is>
      </c>
      <c r="G64" t="inlineStr">
        <is>
          <t>UPPVIDINGE</t>
        </is>
      </c>
      <c r="H64" t="inlineStr">
        <is>
          <t>Sveaskog</t>
        </is>
      </c>
      <c r="I64" t="n">
        <v>2.1</v>
      </c>
      <c r="J64" t="n">
        <v>1</v>
      </c>
      <c r="K64" t="n">
        <v>0</v>
      </c>
      <c r="L64" t="n">
        <v>0</v>
      </c>
      <c r="M64" t="n">
        <v>0</v>
      </c>
      <c r="N64" t="n">
        <v>0</v>
      </c>
      <c r="O64" t="n">
        <v>0</v>
      </c>
      <c r="P64" t="n">
        <v>0</v>
      </c>
      <c r="Q64" t="n">
        <v>0</v>
      </c>
      <c r="R64" t="n">
        <v>0</v>
      </c>
      <c r="S64" t="n">
        <v>1</v>
      </c>
      <c r="T64" t="n">
        <v>1</v>
      </c>
      <c r="U64" s="2" t="inlineStr">
        <is>
          <t>Blåsippa</t>
        </is>
      </c>
      <c r="V64">
        <f>HYPERLINK("https://klasma.github.io/Logging_0760/artfynd/A 4801-2025 artfynd.xlsx", "A 4801-2025")</f>
        <v/>
      </c>
      <c r="W64">
        <f>HYPERLINK("https://klasma.github.io/Logging_0760/kartor/A 4801-2025 karta.png", "A 4801-2025")</f>
        <v/>
      </c>
      <c r="Y64">
        <f>HYPERLINK("https://klasma.github.io/Logging_0760/klagomål/A 4801-2025 FSC-klagomål.docx", "A 4801-2025")</f>
        <v/>
      </c>
      <c r="Z64">
        <f>HYPERLINK("https://klasma.github.io/Logging_0760/klagomålsmail/A 4801-2025 FSC-klagomål mail.docx", "A 4801-2025")</f>
        <v/>
      </c>
      <c r="AA64">
        <f>HYPERLINK("https://klasma.github.io/Logging_0760/tillsyn/A 4801-2025 tillsynsbegäran.docx", "A 4801-2025")</f>
        <v/>
      </c>
      <c r="AB64">
        <f>HYPERLINK("https://klasma.github.io/Logging_0760/tillsynsmail/A 4801-2025 tillsynsbegäran mail.docx", "A 4801-2025")</f>
        <v/>
      </c>
    </row>
    <row r="65" ht="15" customHeight="1">
      <c r="A65" t="inlineStr">
        <is>
          <t>A 40839-2025</t>
        </is>
      </c>
      <c r="B65" t="inlineStr">
        <is>
          <t>avverkningsanmälan</t>
        </is>
      </c>
      <c r="C65" t="inlineStr">
        <is>
          <t>Föryngringsavverkning</t>
        </is>
      </c>
      <c r="D65" s="1" t="n">
        <v>45897</v>
      </c>
      <c r="E65" s="1" t="n">
        <v>46217</v>
      </c>
      <c r="F65" t="inlineStr">
        <is>
          <t>KRONOBERGS LÄN</t>
        </is>
      </c>
      <c r="G65" t="inlineStr">
        <is>
          <t>UPPVIDINGE</t>
        </is>
      </c>
      <c r="I65" t="n">
        <v>1.5</v>
      </c>
      <c r="J65" t="n">
        <v>0</v>
      </c>
      <c r="K65" t="n">
        <v>0</v>
      </c>
      <c r="L65" t="n">
        <v>1</v>
      </c>
      <c r="M65" t="n">
        <v>0</v>
      </c>
      <c r="N65" t="n">
        <v>0</v>
      </c>
      <c r="O65" t="n">
        <v>0</v>
      </c>
      <c r="P65" t="n">
        <v>0</v>
      </c>
      <c r="Q65" t="n">
        <v>1</v>
      </c>
      <c r="R65" t="n">
        <v>0</v>
      </c>
      <c r="S65" t="n">
        <v>1</v>
      </c>
      <c r="T65" t="n">
        <v>3</v>
      </c>
      <c r="U65" s="2" t="inlineStr">
        <is>
          <t>Fjällig taggsvamp s.str.</t>
        </is>
      </c>
      <c r="V65">
        <f>HYPERLINK("https://klasma.github.io/Logging_0760/artfynd/A 40839-2025 artfynd.xlsx", "A 40839-2025")</f>
        <v/>
      </c>
      <c r="W65">
        <f>HYPERLINK("https://klasma.github.io/Logging_0760/kartor/A 40839-2025 karta.png", "A 40839-2025")</f>
        <v/>
      </c>
      <c r="Y65">
        <f>HYPERLINK("https://klasma.github.io/Logging_0760/klagomål/A 40839-2025 FSC-klagomål.docx", "A 40839-2025")</f>
        <v/>
      </c>
      <c r="Z65">
        <f>HYPERLINK("https://klasma.github.io/Logging_0760/klagomålsmail/A 40839-2025 FSC-klagomål mail.docx", "A 40839-2025")</f>
        <v/>
      </c>
      <c r="AA65">
        <f>HYPERLINK("https://klasma.github.io/Logging_0760/tillsyn/A 40839-2025 tillsynsbegäran.docx", "A 40839-2025")</f>
        <v/>
      </c>
      <c r="AB65">
        <f>HYPERLINK("https://klasma.github.io/Logging_0760/tillsynsmail/A 40839-2025 tillsynsbegäran mail.docx", "A 40839-2025")</f>
        <v/>
      </c>
    </row>
    <row r="66" ht="15" customHeight="1">
      <c r="A66" t="inlineStr">
        <is>
          <t>A 49577-2025</t>
        </is>
      </c>
      <c r="B66" t="inlineStr">
        <is>
          <t>avverkningsanmälan</t>
        </is>
      </c>
      <c r="C66" t="inlineStr">
        <is>
          <t>Föryngringsavverkning</t>
        </is>
      </c>
      <c r="D66" s="1" t="n">
        <v>45939</v>
      </c>
      <c r="E66" s="1" t="n">
        <v>46217</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s="2" t="inlineStr">
        <is>
          <t>Slåttergubbe</t>
        </is>
      </c>
      <c r="V66">
        <f>HYPERLINK("https://klasma.github.io/Logging_0760/artfynd/A 49577-2025 artfynd.xlsx", "A 49577-2025")</f>
        <v/>
      </c>
      <c r="W66">
        <f>HYPERLINK("https://klasma.github.io/Logging_0760/kartor/A 49577-2025 karta.png", "A 49577-2025")</f>
        <v/>
      </c>
      <c r="Y66">
        <f>HYPERLINK("https://klasma.github.io/Logging_0760/klagomål/A 49577-2025 FSC-klagomål.docx", "A 49577-2025")</f>
        <v/>
      </c>
      <c r="Z66">
        <f>HYPERLINK("https://klasma.github.io/Logging_0760/klagomålsmail/A 49577-2025 FSC-klagomål mail.docx", "A 49577-2025")</f>
        <v/>
      </c>
      <c r="AA66">
        <f>HYPERLINK("https://klasma.github.io/Logging_0760/tillsyn/A 49577-2025 tillsynsbegäran.docx", "A 49577-2025")</f>
        <v/>
      </c>
      <c r="AB66">
        <f>HYPERLINK("https://klasma.github.io/Logging_0760/tillsynsmail/A 49577-2025 tillsynsbegäran mail.docx", "A 49577-2025")</f>
        <v/>
      </c>
    </row>
    <row r="67" ht="15" customHeight="1">
      <c r="A67" t="inlineStr">
        <is>
          <t>A 58029-2025</t>
        </is>
      </c>
      <c r="B67" t="inlineStr">
        <is>
          <t>avverkningsanmälan</t>
        </is>
      </c>
      <c r="C67" t="inlineStr">
        <is>
          <t>Föryngringsavverkning</t>
        </is>
      </c>
      <c r="D67" s="1" t="n">
        <v>45982</v>
      </c>
      <c r="E67" s="1" t="n">
        <v>46217</v>
      </c>
      <c r="F67" t="inlineStr">
        <is>
          <t>KRONOBERGS LÄN</t>
        </is>
      </c>
      <c r="G67" t="inlineStr">
        <is>
          <t>UPPVIDINGE</t>
        </is>
      </c>
      <c r="I67" t="n">
        <v>4</v>
      </c>
      <c r="J67" t="n">
        <v>1</v>
      </c>
      <c r="K67" t="n">
        <v>0</v>
      </c>
      <c r="L67" t="n">
        <v>0</v>
      </c>
      <c r="M67" t="n">
        <v>1</v>
      </c>
      <c r="N67" t="n">
        <v>0</v>
      </c>
      <c r="O67" t="n">
        <v>0</v>
      </c>
      <c r="P67" t="n">
        <v>0</v>
      </c>
      <c r="Q67" t="n">
        <v>1</v>
      </c>
      <c r="R67" t="n">
        <v>1</v>
      </c>
      <c r="S67" t="n">
        <v>1</v>
      </c>
      <c r="T67" t="n">
        <v>2</v>
      </c>
      <c r="U67" s="2" t="inlineStr">
        <is>
          <t>Knärot</t>
        </is>
      </c>
      <c r="V67">
        <f>HYPERLINK("https://klasma.github.io/Logging_0760/artfynd/A 58029-2025 artfynd.xlsx", "A 58029-2025")</f>
        <v/>
      </c>
      <c r="W67">
        <f>HYPERLINK("https://klasma.github.io/Logging_0760/kartor/A 58029-2025 karta.png", "A 58029-2025")</f>
        <v/>
      </c>
      <c r="X67">
        <f>HYPERLINK("https://klasma.github.io/Logging_0760/knärot/A 58029-2025 karta knärot.png", "A 58029-2025")</f>
        <v/>
      </c>
      <c r="Y67">
        <f>HYPERLINK("https://klasma.github.io/Logging_0760/klagomål/A 58029-2025 FSC-klagomål.docx", "A 58029-2025")</f>
        <v/>
      </c>
      <c r="Z67">
        <f>HYPERLINK("https://klasma.github.io/Logging_0760/klagomålsmail/A 58029-2025 FSC-klagomål mail.docx", "A 58029-2025")</f>
        <v/>
      </c>
      <c r="AA67">
        <f>HYPERLINK("https://klasma.github.io/Logging_0760/tillsyn/A 58029-2025 tillsynsbegäran.docx", "A 58029-2025")</f>
        <v/>
      </c>
      <c r="AB67">
        <f>HYPERLINK("https://klasma.github.io/Logging_0760/tillsynsmail/A 58029-2025 tillsynsbegäran mail.docx", "A 58029-2025")</f>
        <v/>
      </c>
    </row>
    <row r="68" ht="15" customHeight="1">
      <c r="A68" t="inlineStr">
        <is>
          <t>A 57813-2025</t>
        </is>
      </c>
      <c r="B68" t="inlineStr">
        <is>
          <t>avverkningsanmälan</t>
        </is>
      </c>
      <c r="C68" t="inlineStr">
        <is>
          <t>Föryngringsavverkning</t>
        </is>
      </c>
      <c r="D68" s="1" t="n">
        <v>45981</v>
      </c>
      <c r="E68" s="1" t="n">
        <v>46217</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s="2" t="inlineStr">
        <is>
          <t>Orre</t>
        </is>
      </c>
      <c r="V68">
        <f>HYPERLINK("https://klasma.github.io/Logging_0760/artfynd/A 57813-2025 artfynd.xlsx", "A 57813-2025")</f>
        <v/>
      </c>
      <c r="W68">
        <f>HYPERLINK("https://klasma.github.io/Logging_0760/kartor/A 57813-2025 karta.png", "A 57813-2025")</f>
        <v/>
      </c>
      <c r="Y68">
        <f>HYPERLINK("https://klasma.github.io/Logging_0760/klagomål/A 57813-2025 FSC-klagomål.docx", "A 57813-2025")</f>
        <v/>
      </c>
      <c r="Z68">
        <f>HYPERLINK("https://klasma.github.io/Logging_0760/klagomålsmail/A 57813-2025 FSC-klagomål mail.docx", "A 57813-2025")</f>
        <v/>
      </c>
      <c r="AA68">
        <f>HYPERLINK("https://klasma.github.io/Logging_0760/tillsyn/A 57813-2025 tillsynsbegäran.docx", "A 57813-2025")</f>
        <v/>
      </c>
      <c r="AB68">
        <f>HYPERLINK("https://klasma.github.io/Logging_0760/tillsynsmail/A 57813-2025 tillsynsbegäran mail.docx", "A 57813-2025")</f>
        <v/>
      </c>
      <c r="AC68">
        <f>HYPERLINK("https://klasma.github.io/Logging_0760/fåglar/A 57813-2025 prioriterade fågelarter.docx", "A 57813-2025")</f>
        <v/>
      </c>
    </row>
    <row r="69" ht="15" customHeight="1">
      <c r="A69" t="inlineStr">
        <is>
          <t>A 27026-2026</t>
        </is>
      </c>
      <c r="B69" t="inlineStr">
        <is>
          <t>avverkningsanmälan</t>
        </is>
      </c>
      <c r="C69" t="inlineStr">
        <is>
          <t>Föryngringsavverkning</t>
        </is>
      </c>
      <c r="D69" s="1" t="n">
        <v>46185</v>
      </c>
      <c r="E69" s="1" t="n">
        <v>46217</v>
      </c>
      <c r="F69" t="inlineStr">
        <is>
          <t>KRONOBERGS LÄN</t>
        </is>
      </c>
      <c r="G69" t="inlineStr">
        <is>
          <t>UPPVIDINGE</t>
        </is>
      </c>
      <c r="H69" t="inlineStr">
        <is>
          <t>Sveaskog</t>
        </is>
      </c>
      <c r="I69" t="n">
        <v>2.6</v>
      </c>
      <c r="J69" t="n">
        <v>0</v>
      </c>
      <c r="K69" t="n">
        <v>1</v>
      </c>
      <c r="L69" t="n">
        <v>0</v>
      </c>
      <c r="M69" t="n">
        <v>0</v>
      </c>
      <c r="N69" t="n">
        <v>0</v>
      </c>
      <c r="O69" t="n">
        <v>0</v>
      </c>
      <c r="P69" t="n">
        <v>0</v>
      </c>
      <c r="Q69" t="n">
        <v>0</v>
      </c>
      <c r="R69" t="n">
        <v>0</v>
      </c>
      <c r="S69" t="n">
        <v>1</v>
      </c>
      <c r="T69" t="n">
        <v>1</v>
      </c>
      <c r="U69" s="2" t="inlineStr">
        <is>
          <t>Havstulpanlav</t>
        </is>
      </c>
      <c r="V69">
        <f>HYPERLINK("https://klasma.github.io/Logging_0760/artfynd/A 27026-2026 artfynd.xlsx", "A 27026-2026")</f>
        <v/>
      </c>
      <c r="W69">
        <f>HYPERLINK("https://klasma.github.io/Logging_0760/kartor/A 27026-2026 karta.png", "A 27026-2026")</f>
        <v/>
      </c>
      <c r="Y69">
        <f>HYPERLINK("https://klasma.github.io/Logging_0760/klagomål/A 27026-2026 FSC-klagomål.docx", "A 27026-2026")</f>
        <v/>
      </c>
      <c r="Z69">
        <f>HYPERLINK("https://klasma.github.io/Logging_0760/klagomålsmail/A 27026-2026 FSC-klagomål mail.docx", "A 27026-2026")</f>
        <v/>
      </c>
      <c r="AA69">
        <f>HYPERLINK("https://klasma.github.io/Logging_0760/tillsyn/A 27026-2026 tillsynsbegäran.docx", "A 27026-2026")</f>
        <v/>
      </c>
      <c r="AB69">
        <f>HYPERLINK("https://klasma.github.io/Logging_0760/tillsynsmail/A 27026-2026 tillsynsbegäran mail.docx", "A 27026-2026")</f>
        <v/>
      </c>
    </row>
    <row r="70" ht="15" customHeight="1">
      <c r="A70" t="inlineStr">
        <is>
          <t>A 16882-2022</t>
        </is>
      </c>
      <c r="B70" t="inlineStr">
        <is>
          <t>avverkningsanmälan</t>
        </is>
      </c>
      <c r="C70" t="inlineStr">
        <is>
          <t>Avverkning för annat ändamål</t>
        </is>
      </c>
      <c r="D70" s="1" t="n">
        <v>44676</v>
      </c>
      <c r="E70" s="1" t="n">
        <v>46217</v>
      </c>
      <c r="F70" t="inlineStr">
        <is>
          <t>KRONOBERGS LÄN</t>
        </is>
      </c>
      <c r="G70" t="inlineStr">
        <is>
          <t>UPPVIDINGE</t>
        </is>
      </c>
      <c r="I70" t="n">
        <v>13.5</v>
      </c>
      <c r="J70" t="n">
        <v>0</v>
      </c>
      <c r="K70" t="n">
        <v>0</v>
      </c>
      <c r="L70" t="n">
        <v>1</v>
      </c>
      <c r="M70" t="n">
        <v>0</v>
      </c>
      <c r="N70" t="n">
        <v>0</v>
      </c>
      <c r="O70" t="n">
        <v>0</v>
      </c>
      <c r="P70" t="n">
        <v>0</v>
      </c>
      <c r="Q70" t="n">
        <v>1</v>
      </c>
      <c r="R70" t="n">
        <v>0</v>
      </c>
      <c r="S70" t="n">
        <v>1</v>
      </c>
      <c r="T70" t="n">
        <v>2</v>
      </c>
      <c r="U70" s="2" t="inlineStr">
        <is>
          <t>Sommarfibbla</t>
        </is>
      </c>
      <c r="V70">
        <f>HYPERLINK("https://klasma.github.io/Logging_0760/artfynd/A 16882-2022 artfynd.xlsx", "A 16882-2022")</f>
        <v/>
      </c>
      <c r="W70">
        <f>HYPERLINK("https://klasma.github.io/Logging_0760/kartor/A 16882-2022 karta.png", "A 16882-2022")</f>
        <v/>
      </c>
      <c r="Y70">
        <f>HYPERLINK("https://klasma.github.io/Logging_0760/klagomål/A 16882-2022 FSC-klagomål.docx", "A 16882-2022")</f>
        <v/>
      </c>
      <c r="Z70">
        <f>HYPERLINK("https://klasma.github.io/Logging_0760/klagomålsmail/A 16882-2022 FSC-klagomål mail.docx", "A 16882-2022")</f>
        <v/>
      </c>
      <c r="AA70">
        <f>HYPERLINK("https://klasma.github.io/Logging_0760/tillsyn/A 16882-2022 tillsynsbegäran.docx", "A 16882-2022")</f>
        <v/>
      </c>
      <c r="AB70">
        <f>HYPERLINK("https://klasma.github.io/Logging_0760/tillsynsmail/A 16882-2022 tillsynsbegäran mail.docx", "A 16882-2022")</f>
        <v/>
      </c>
    </row>
    <row r="71" ht="15" customHeight="1">
      <c r="A71" t="inlineStr">
        <is>
          <t>A 3606-2024</t>
        </is>
      </c>
      <c r="B71" t="inlineStr">
        <is>
          <t>avverkningsanmälan</t>
        </is>
      </c>
      <c r="C71" t="inlineStr">
        <is>
          <t>Föryngringsavverkning</t>
        </is>
      </c>
      <c r="D71" s="1" t="n">
        <v>45320</v>
      </c>
      <c r="E71" s="1" t="n">
        <v>46217</v>
      </c>
      <c r="F71" t="inlineStr">
        <is>
          <t>KRONOBERGS LÄN</t>
        </is>
      </c>
      <c r="G71" t="inlineStr">
        <is>
          <t>UPPVIDINGE</t>
        </is>
      </c>
      <c r="I71" t="n">
        <v>0.5</v>
      </c>
      <c r="J71" t="n">
        <v>0</v>
      </c>
      <c r="K71" t="n">
        <v>0</v>
      </c>
      <c r="L71" t="n">
        <v>1</v>
      </c>
      <c r="M71" t="n">
        <v>0</v>
      </c>
      <c r="N71" t="n">
        <v>0</v>
      </c>
      <c r="O71" t="n">
        <v>0</v>
      </c>
      <c r="P71" t="n">
        <v>0</v>
      </c>
      <c r="Q71" t="n">
        <v>1</v>
      </c>
      <c r="R71" t="n">
        <v>0</v>
      </c>
      <c r="S71" t="n">
        <v>1</v>
      </c>
      <c r="T71" t="n">
        <v>1</v>
      </c>
      <c r="U71" s="2" t="inlineStr">
        <is>
          <t>Fjällig taggsvamp s.str.</t>
        </is>
      </c>
      <c r="V71">
        <f>HYPERLINK("https://klasma.github.io/Logging_0760/artfynd/A 3606-2024 artfynd.xlsx", "A 3606-2024")</f>
        <v/>
      </c>
      <c r="W71">
        <f>HYPERLINK("https://klasma.github.io/Logging_0760/kartor/A 3606-2024 karta.png", "A 3606-2024")</f>
        <v/>
      </c>
      <c r="Y71">
        <f>HYPERLINK("https://klasma.github.io/Logging_0760/klagomål/A 3606-2024 FSC-klagomål.docx", "A 3606-2024")</f>
        <v/>
      </c>
      <c r="Z71">
        <f>HYPERLINK("https://klasma.github.io/Logging_0760/klagomålsmail/A 3606-2024 FSC-klagomål mail.docx", "A 3606-2024")</f>
        <v/>
      </c>
      <c r="AA71">
        <f>HYPERLINK("https://klasma.github.io/Logging_0760/tillsyn/A 3606-2024 tillsynsbegäran.docx", "A 3606-2024")</f>
        <v/>
      </c>
      <c r="AB71">
        <f>HYPERLINK("https://klasma.github.io/Logging_0760/tillsynsmail/A 3606-2024 tillsynsbegäran mail.docx", "A 3606-2024")</f>
        <v/>
      </c>
    </row>
    <row r="72" ht="15" customHeight="1">
      <c r="A72" t="inlineStr">
        <is>
          <t>A 22428-2026</t>
        </is>
      </c>
      <c r="B72" t="inlineStr">
        <is>
          <t>avverkningsanmälan</t>
        </is>
      </c>
      <c r="C72" t="inlineStr">
        <is>
          <t>Föryngringsavverkning</t>
        </is>
      </c>
      <c r="D72" s="1" t="n">
        <v>46154</v>
      </c>
      <c r="E72" s="1" t="n">
        <v>46217</v>
      </c>
      <c r="F72" t="inlineStr">
        <is>
          <t>KRONOBERGS LÄN</t>
        </is>
      </c>
      <c r="G72" t="inlineStr">
        <is>
          <t>UPPVIDINGE</t>
        </is>
      </c>
      <c r="I72" t="n">
        <v>9.199999999999999</v>
      </c>
      <c r="J72" t="n">
        <v>1</v>
      </c>
      <c r="K72" t="n">
        <v>0</v>
      </c>
      <c r="L72" t="n">
        <v>0</v>
      </c>
      <c r="M72" t="n">
        <v>0</v>
      </c>
      <c r="N72" t="n">
        <v>0</v>
      </c>
      <c r="O72" t="n">
        <v>0</v>
      </c>
      <c r="P72" t="n">
        <v>0</v>
      </c>
      <c r="Q72" t="n">
        <v>0</v>
      </c>
      <c r="R72" t="n">
        <v>0</v>
      </c>
      <c r="S72" t="n">
        <v>1</v>
      </c>
      <c r="T72" t="n">
        <v>1</v>
      </c>
      <c r="U72" s="2" t="inlineStr">
        <is>
          <t>Nattviol</t>
        </is>
      </c>
      <c r="V72">
        <f>HYPERLINK("https://klasma.github.io/Logging_0760/artfynd/A 22428-2026 artfynd.xlsx", "A 22428-2026")</f>
        <v/>
      </c>
      <c r="W72">
        <f>HYPERLINK("https://klasma.github.io/Logging_0760/kartor/A 22428-2026 karta.png", "A 22428-2026")</f>
        <v/>
      </c>
      <c r="Y72">
        <f>HYPERLINK("https://klasma.github.io/Logging_0760/klagomål/A 22428-2026 FSC-klagomål.docx", "A 22428-2026")</f>
        <v/>
      </c>
      <c r="Z72">
        <f>HYPERLINK("https://klasma.github.io/Logging_0760/klagomålsmail/A 22428-2026 FSC-klagomål mail.docx", "A 22428-2026")</f>
        <v/>
      </c>
      <c r="AA72">
        <f>HYPERLINK("https://klasma.github.io/Logging_0760/tillsyn/A 22428-2026 tillsynsbegäran.docx", "A 22428-2026")</f>
        <v/>
      </c>
      <c r="AB72">
        <f>HYPERLINK("https://klasma.github.io/Logging_0760/tillsynsmail/A 22428-2026 tillsynsbegäran mail.docx", "A 22428-2026")</f>
        <v/>
      </c>
    </row>
    <row r="73" ht="15" customHeight="1">
      <c r="A73" t="inlineStr">
        <is>
          <t>A 9714-2023</t>
        </is>
      </c>
      <c r="B73" t="inlineStr">
        <is>
          <t>avverkningsanmälan</t>
        </is>
      </c>
      <c r="C73" t="inlineStr">
        <is>
          <t>Föryngringsavverkning</t>
        </is>
      </c>
      <c r="D73" s="1" t="n">
        <v>44984</v>
      </c>
      <c r="E73" s="1" t="n">
        <v>46217</v>
      </c>
      <c r="F73" t="inlineStr">
        <is>
          <t>KRONOBERGS LÄN</t>
        </is>
      </c>
      <c r="G73" t="inlineStr">
        <is>
          <t>UPPVIDINGE</t>
        </is>
      </c>
      <c r="I73" t="n">
        <v>0.6</v>
      </c>
      <c r="J73" t="n">
        <v>1</v>
      </c>
      <c r="K73" t="n">
        <v>0</v>
      </c>
      <c r="L73" t="n">
        <v>0</v>
      </c>
      <c r="M73" t="n">
        <v>0</v>
      </c>
      <c r="N73" t="n">
        <v>0</v>
      </c>
      <c r="O73" t="n">
        <v>0</v>
      </c>
      <c r="P73" t="n">
        <v>0</v>
      </c>
      <c r="Q73" t="n">
        <v>0</v>
      </c>
      <c r="R73" t="n">
        <v>0</v>
      </c>
      <c r="S73" t="n">
        <v>1</v>
      </c>
      <c r="T73" t="n">
        <v>1</v>
      </c>
      <c r="U73" s="2" t="inlineStr">
        <is>
          <t>Grönsiska</t>
        </is>
      </c>
      <c r="V73">
        <f>HYPERLINK("https://klasma.github.io/Logging_0760/artfynd/A 9714-2023 artfynd.xlsx", "A 9714-2023")</f>
        <v/>
      </c>
      <c r="W73">
        <f>HYPERLINK("https://klasma.github.io/Logging_0760/kartor/A 9714-2023 karta.png", "A 9714-2023")</f>
        <v/>
      </c>
      <c r="Y73">
        <f>HYPERLINK("https://klasma.github.io/Logging_0760/klagomål/A 9714-2023 FSC-klagomål.docx", "A 9714-2023")</f>
        <v/>
      </c>
      <c r="Z73">
        <f>HYPERLINK("https://klasma.github.io/Logging_0760/klagomålsmail/A 9714-2023 FSC-klagomål mail.docx", "A 9714-2023")</f>
        <v/>
      </c>
      <c r="AA73">
        <f>HYPERLINK("https://klasma.github.io/Logging_0760/tillsyn/A 9714-2023 tillsynsbegäran.docx", "A 9714-2023")</f>
        <v/>
      </c>
      <c r="AB73">
        <f>HYPERLINK("https://klasma.github.io/Logging_0760/tillsynsmail/A 9714-2023 tillsynsbegäran mail.docx", "A 9714-2023")</f>
        <v/>
      </c>
    </row>
    <row r="74" ht="15" customHeight="1">
      <c r="A74" t="inlineStr">
        <is>
          <t>A 48175-2022</t>
        </is>
      </c>
      <c r="B74" t="inlineStr">
        <is>
          <t>avverkningsanmälan</t>
        </is>
      </c>
      <c r="C74" t="inlineStr">
        <is>
          <t>Föryngringsavverkning</t>
        </is>
      </c>
      <c r="D74" s="1" t="n">
        <v>44858</v>
      </c>
      <c r="E74" s="1" t="n">
        <v>46217</v>
      </c>
      <c r="F74" t="inlineStr">
        <is>
          <t>KRONOBERGS LÄN</t>
        </is>
      </c>
      <c r="G74" t="inlineStr">
        <is>
          <t>UPPVIDINGE</t>
        </is>
      </c>
      <c r="I74" t="n">
        <v>0.6</v>
      </c>
      <c r="J74" t="n">
        <v>0</v>
      </c>
      <c r="K74" t="n">
        <v>0</v>
      </c>
      <c r="L74" t="n">
        <v>0</v>
      </c>
      <c r="M74" t="n">
        <v>1</v>
      </c>
      <c r="N74" t="n">
        <v>0</v>
      </c>
      <c r="O74" t="n">
        <v>0</v>
      </c>
      <c r="P74" t="n">
        <v>0</v>
      </c>
      <c r="Q74" t="n">
        <v>1</v>
      </c>
      <c r="R74" t="n">
        <v>1</v>
      </c>
      <c r="S74" t="n">
        <v>1</v>
      </c>
      <c r="T74" t="n">
        <v>1</v>
      </c>
      <c r="U74" s="2" t="inlineStr">
        <is>
          <t>Slåttergubbe</t>
        </is>
      </c>
      <c r="V74">
        <f>HYPERLINK("https://klasma.github.io/Logging_0760/artfynd/A 48175-2022 artfynd.xlsx", "A 48175-2022")</f>
        <v/>
      </c>
      <c r="W74">
        <f>HYPERLINK("https://klasma.github.io/Logging_0760/kartor/A 48175-2022 karta.png", "A 48175-2022")</f>
        <v/>
      </c>
      <c r="Y74">
        <f>HYPERLINK("https://klasma.github.io/Logging_0760/klagomål/A 48175-2022 FSC-klagomål.docx", "A 48175-2022")</f>
        <v/>
      </c>
      <c r="Z74">
        <f>HYPERLINK("https://klasma.github.io/Logging_0760/klagomålsmail/A 48175-2022 FSC-klagomål mail.docx", "A 48175-2022")</f>
        <v/>
      </c>
      <c r="AA74">
        <f>HYPERLINK("https://klasma.github.io/Logging_0760/tillsyn/A 48175-2022 tillsynsbegäran.docx", "A 48175-2022")</f>
        <v/>
      </c>
      <c r="AB74">
        <f>HYPERLINK("https://klasma.github.io/Logging_0760/tillsynsmail/A 48175-2022 tillsynsbegäran mail.docx", "A 48175-2022")</f>
        <v/>
      </c>
    </row>
    <row r="75" ht="15" customHeight="1">
      <c r="A75" t="inlineStr">
        <is>
          <t>A 5742-2026</t>
        </is>
      </c>
      <c r="B75" t="inlineStr">
        <is>
          <t>avverkningsanmälan</t>
        </is>
      </c>
      <c r="C75" t="inlineStr">
        <is>
          <t>Föryngringsavverkning</t>
        </is>
      </c>
      <c r="D75" s="1" t="n">
        <v>46051</v>
      </c>
      <c r="E75" s="1" t="n">
        <v>46217</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s="2" t="inlineStr">
        <is>
          <t>Dropptaggsvamp</t>
        </is>
      </c>
      <c r="V75">
        <f>HYPERLINK("https://klasma.github.io/Logging_0760/artfynd/A 5742-2026 artfynd.xlsx", "A 5742-2026")</f>
        <v/>
      </c>
      <c r="W75">
        <f>HYPERLINK("https://klasma.github.io/Logging_0760/kartor/A 5742-2026 karta.png", "A 5742-2026")</f>
        <v/>
      </c>
      <c r="Y75">
        <f>HYPERLINK("https://klasma.github.io/Logging_0760/klagomål/A 5742-2026 FSC-klagomål.docx", "A 5742-2026")</f>
        <v/>
      </c>
      <c r="Z75">
        <f>HYPERLINK("https://klasma.github.io/Logging_0760/klagomålsmail/A 5742-2026 FSC-klagomål mail.docx", "A 5742-2026")</f>
        <v/>
      </c>
      <c r="AA75">
        <f>HYPERLINK("https://klasma.github.io/Logging_0760/tillsyn/A 5742-2026 tillsynsbegäran.docx", "A 5742-2026")</f>
        <v/>
      </c>
      <c r="AB75">
        <f>HYPERLINK("https://klasma.github.io/Logging_0760/tillsynsmail/A 5742-2026 tillsynsbegäran mail.docx", "A 5742-2026")</f>
        <v/>
      </c>
    </row>
    <row r="76" ht="15" customHeight="1">
      <c r="A76" t="inlineStr">
        <is>
          <t>A 12184-2023</t>
        </is>
      </c>
      <c r="B76" t="inlineStr">
        <is>
          <t>avverkningsanmälan</t>
        </is>
      </c>
      <c r="C76" t="inlineStr">
        <is>
          <t>Föryngringsavverkning</t>
        </is>
      </c>
      <c r="D76" s="1" t="n">
        <v>44998</v>
      </c>
      <c r="E76" s="1" t="n">
        <v>46217</v>
      </c>
      <c r="F76" t="inlineStr">
        <is>
          <t>KRONOBERGS LÄN</t>
        </is>
      </c>
      <c r="G76" t="inlineStr">
        <is>
          <t>UPPVIDINGE</t>
        </is>
      </c>
      <c r="I76" t="n">
        <v>0.6</v>
      </c>
      <c r="J76" t="n">
        <v>0</v>
      </c>
      <c r="K76" t="n">
        <v>0</v>
      </c>
      <c r="L76" t="n">
        <v>1</v>
      </c>
      <c r="M76" t="n">
        <v>0</v>
      </c>
      <c r="N76" t="n">
        <v>0</v>
      </c>
      <c r="O76" t="n">
        <v>0</v>
      </c>
      <c r="P76" t="n">
        <v>0</v>
      </c>
      <c r="Q76" t="n">
        <v>1</v>
      </c>
      <c r="R76" t="n">
        <v>0</v>
      </c>
      <c r="S76" t="n">
        <v>1</v>
      </c>
      <c r="T76" t="n">
        <v>1</v>
      </c>
      <c r="U76" s="2" t="inlineStr">
        <is>
          <t>Fjällig taggsvamp s.str.</t>
        </is>
      </c>
      <c r="V76">
        <f>HYPERLINK("https://klasma.github.io/Logging_0760/artfynd/A 12184-2023 artfynd.xlsx", "A 12184-2023")</f>
        <v/>
      </c>
      <c r="W76">
        <f>HYPERLINK("https://klasma.github.io/Logging_0760/kartor/A 12184-2023 karta.png", "A 12184-2023")</f>
        <v/>
      </c>
      <c r="Y76">
        <f>HYPERLINK("https://klasma.github.io/Logging_0760/klagomål/A 12184-2023 FSC-klagomål.docx", "A 12184-2023")</f>
        <v/>
      </c>
      <c r="Z76">
        <f>HYPERLINK("https://klasma.github.io/Logging_0760/klagomålsmail/A 12184-2023 FSC-klagomål mail.docx", "A 12184-2023")</f>
        <v/>
      </c>
      <c r="AA76">
        <f>HYPERLINK("https://klasma.github.io/Logging_0760/tillsyn/A 12184-2023 tillsynsbegäran.docx", "A 12184-2023")</f>
        <v/>
      </c>
      <c r="AB76">
        <f>HYPERLINK("https://klasma.github.io/Logging_0760/tillsynsmail/A 12184-2023 tillsynsbegäran mail.docx", "A 12184-2023")</f>
        <v/>
      </c>
    </row>
    <row r="77" ht="15" customHeight="1">
      <c r="A77" t="inlineStr">
        <is>
          <t>A 15676-2022</t>
        </is>
      </c>
      <c r="B77" t="inlineStr">
        <is>
          <t>avverkningsanmälan</t>
        </is>
      </c>
      <c r="C77" t="inlineStr">
        <is>
          <t>Föryngringsavverkning</t>
        </is>
      </c>
      <c r="D77" s="1" t="n">
        <v>44663</v>
      </c>
      <c r="E77" s="1" t="n">
        <v>46217</v>
      </c>
      <c r="F77" t="inlineStr">
        <is>
          <t>KRONOBERGS LÄN</t>
        </is>
      </c>
      <c r="G77" t="inlineStr">
        <is>
          <t>UPPVIDINGE</t>
        </is>
      </c>
      <c r="I77" t="n">
        <v>1.5</v>
      </c>
      <c r="J77" t="n">
        <v>1</v>
      </c>
      <c r="K77" t="n">
        <v>0</v>
      </c>
      <c r="L77" t="n">
        <v>0</v>
      </c>
      <c r="M77" t="n">
        <v>1</v>
      </c>
      <c r="N77" t="n">
        <v>0</v>
      </c>
      <c r="O77" t="n">
        <v>0</v>
      </c>
      <c r="P77" t="n">
        <v>0</v>
      </c>
      <c r="Q77" t="n">
        <v>1</v>
      </c>
      <c r="R77" t="n">
        <v>1</v>
      </c>
      <c r="S77" t="n">
        <v>1</v>
      </c>
      <c r="T77" t="n">
        <v>2</v>
      </c>
      <c r="U77" s="2" t="inlineStr">
        <is>
          <t>Knärot</t>
        </is>
      </c>
      <c r="V77">
        <f>HYPERLINK("https://klasma.github.io/Logging_0760/artfynd/A 15676-2022 artfynd.xlsx", "A 15676-2022")</f>
        <v/>
      </c>
      <c r="W77">
        <f>HYPERLINK("https://klasma.github.io/Logging_0760/kartor/A 15676-2022 karta.png", "A 15676-2022")</f>
        <v/>
      </c>
      <c r="X77">
        <f>HYPERLINK("https://klasma.github.io/Logging_0760/knärot/A 15676-2022 karta knärot.png", "A 15676-2022")</f>
        <v/>
      </c>
      <c r="Y77">
        <f>HYPERLINK("https://klasma.github.io/Logging_0760/klagomål/A 15676-2022 FSC-klagomål.docx", "A 15676-2022")</f>
        <v/>
      </c>
      <c r="Z77">
        <f>HYPERLINK("https://klasma.github.io/Logging_0760/klagomålsmail/A 15676-2022 FSC-klagomål mail.docx", "A 15676-2022")</f>
        <v/>
      </c>
      <c r="AA77">
        <f>HYPERLINK("https://klasma.github.io/Logging_0760/tillsyn/A 15676-2022 tillsynsbegäran.docx", "A 15676-2022")</f>
        <v/>
      </c>
      <c r="AB77">
        <f>HYPERLINK("https://klasma.github.io/Logging_0760/tillsynsmail/A 15676-2022 tillsynsbegäran mail.docx", "A 15676-2022")</f>
        <v/>
      </c>
    </row>
    <row r="78" ht="15" customHeight="1">
      <c r="A78" t="inlineStr">
        <is>
          <t>A 23244-2026</t>
        </is>
      </c>
      <c r="B78" t="inlineStr">
        <is>
          <t>avverkningsanmälan</t>
        </is>
      </c>
      <c r="C78" t="inlineStr">
        <is>
          <t>Föryngringsavverkning</t>
        </is>
      </c>
      <c r="D78" s="1" t="n">
        <v>46162</v>
      </c>
      <c r="E78" s="1" t="n">
        <v>46217</v>
      </c>
      <c r="F78" t="inlineStr">
        <is>
          <t>KRONOBERGS LÄN</t>
        </is>
      </c>
      <c r="G78" t="inlineStr">
        <is>
          <t>UPPVIDINGE</t>
        </is>
      </c>
      <c r="I78" t="n">
        <v>3.2</v>
      </c>
      <c r="J78" t="n">
        <v>0</v>
      </c>
      <c r="K78" t="n">
        <v>0</v>
      </c>
      <c r="L78" t="n">
        <v>1</v>
      </c>
      <c r="M78" t="n">
        <v>0</v>
      </c>
      <c r="N78" t="n">
        <v>0</v>
      </c>
      <c r="O78" t="n">
        <v>0</v>
      </c>
      <c r="P78" t="n">
        <v>0</v>
      </c>
      <c r="Q78" t="n">
        <v>1</v>
      </c>
      <c r="R78" t="n">
        <v>0</v>
      </c>
      <c r="S78" t="n">
        <v>1</v>
      </c>
      <c r="T78" t="n">
        <v>1</v>
      </c>
      <c r="U78" s="2" t="inlineStr">
        <is>
          <t>Spindelört</t>
        </is>
      </c>
      <c r="V78">
        <f>HYPERLINK("https://klasma.github.io/Logging_0760/artfynd/A 23244-2026 artfynd.xlsx", "A 23244-2026")</f>
        <v/>
      </c>
      <c r="W78">
        <f>HYPERLINK("https://klasma.github.io/Logging_0760/kartor/A 23244-2026 karta.png", "A 23244-2026")</f>
        <v/>
      </c>
      <c r="Y78">
        <f>HYPERLINK("https://klasma.github.io/Logging_0760/klagomål/A 23244-2026 FSC-klagomål.docx", "A 23244-2026")</f>
        <v/>
      </c>
      <c r="Z78">
        <f>HYPERLINK("https://klasma.github.io/Logging_0760/klagomålsmail/A 23244-2026 FSC-klagomål mail.docx", "A 23244-2026")</f>
        <v/>
      </c>
      <c r="AA78">
        <f>HYPERLINK("https://klasma.github.io/Logging_0760/tillsyn/A 23244-2026 tillsynsbegäran.docx", "A 23244-2026")</f>
        <v/>
      </c>
      <c r="AB78">
        <f>HYPERLINK("https://klasma.github.io/Logging_0760/tillsynsmail/A 23244-2026 tillsynsbegäran mail.docx", "A 23244-2026")</f>
        <v/>
      </c>
    </row>
    <row r="79" ht="15" customHeight="1">
      <c r="A79" t="inlineStr">
        <is>
          <t>A 14565-2026</t>
        </is>
      </c>
      <c r="B79" t="inlineStr">
        <is>
          <t>avverkningsanmälan</t>
        </is>
      </c>
      <c r="C79" t="inlineStr">
        <is>
          <t>Föryngringsavverkning</t>
        </is>
      </c>
      <c r="D79" s="1" t="n">
        <v>46100</v>
      </c>
      <c r="E79" s="1" t="n">
        <v>46217</v>
      </c>
      <c r="F79" t="inlineStr">
        <is>
          <t>KRONOBERGS LÄN</t>
        </is>
      </c>
      <c r="G79" t="inlineStr">
        <is>
          <t>UPPVIDINGE</t>
        </is>
      </c>
      <c r="I79" t="n">
        <v>8.699999999999999</v>
      </c>
      <c r="J79" t="n">
        <v>0</v>
      </c>
      <c r="K79" t="n">
        <v>1</v>
      </c>
      <c r="L79" t="n">
        <v>0</v>
      </c>
      <c r="M79" t="n">
        <v>0</v>
      </c>
      <c r="N79" t="n">
        <v>0</v>
      </c>
      <c r="O79" t="n">
        <v>0</v>
      </c>
      <c r="P79" t="n">
        <v>0</v>
      </c>
      <c r="Q79" t="n">
        <v>0</v>
      </c>
      <c r="R79" t="n">
        <v>0</v>
      </c>
      <c r="S79" t="n">
        <v>1</v>
      </c>
      <c r="T79" t="n">
        <v>1</v>
      </c>
      <c r="U79" s="2" t="inlineStr">
        <is>
          <t>Flagellkvastmossa</t>
        </is>
      </c>
      <c r="V79">
        <f>HYPERLINK("https://klasma.github.io/Logging_0760/artfynd/A 14565-2026 artfynd.xlsx", "A 14565-2026")</f>
        <v/>
      </c>
      <c r="W79">
        <f>HYPERLINK("https://klasma.github.io/Logging_0760/kartor/A 14565-2026 karta.png", "A 14565-2026")</f>
        <v/>
      </c>
      <c r="Y79">
        <f>HYPERLINK("https://klasma.github.io/Logging_0760/klagomål/A 14565-2026 FSC-klagomål.docx", "A 14565-2026")</f>
        <v/>
      </c>
      <c r="Z79">
        <f>HYPERLINK("https://klasma.github.io/Logging_0760/klagomålsmail/A 14565-2026 FSC-klagomål mail.docx", "A 14565-2026")</f>
        <v/>
      </c>
      <c r="AA79">
        <f>HYPERLINK("https://klasma.github.io/Logging_0760/tillsyn/A 14565-2026 tillsynsbegäran.docx", "A 14565-2026")</f>
        <v/>
      </c>
      <c r="AB79">
        <f>HYPERLINK("https://klasma.github.io/Logging_0760/tillsynsmail/A 14565-2026 tillsynsbegäran mail.docx", "A 14565-2026")</f>
        <v/>
      </c>
    </row>
    <row r="80" ht="15" customHeight="1">
      <c r="A80" t="inlineStr">
        <is>
          <t>A 30110-2022</t>
        </is>
      </c>
      <c r="B80" t="inlineStr">
        <is>
          <t>avverkningsanmälan</t>
        </is>
      </c>
      <c r="C80" t="inlineStr">
        <is>
          <t>Föryngringsavverkning</t>
        </is>
      </c>
      <c r="D80" s="1" t="n">
        <v>44757</v>
      </c>
      <c r="E80" s="1" t="n">
        <v>46217</v>
      </c>
      <c r="F80" t="inlineStr">
        <is>
          <t>KRONOBERGS LÄN</t>
        </is>
      </c>
      <c r="G80" t="inlineStr">
        <is>
          <t>UPPVIDINGE</t>
        </is>
      </c>
      <c r="H80" t="inlineStr">
        <is>
          <t>Sveaskog</t>
        </is>
      </c>
      <c r="I80" t="n">
        <v>1</v>
      </c>
      <c r="J80" t="n">
        <v>1</v>
      </c>
      <c r="K80" t="n">
        <v>0</v>
      </c>
      <c r="L80" t="n">
        <v>0</v>
      </c>
      <c r="M80" t="n">
        <v>0</v>
      </c>
      <c r="N80" t="n">
        <v>0</v>
      </c>
      <c r="O80" t="n">
        <v>0</v>
      </c>
      <c r="P80" t="n">
        <v>0</v>
      </c>
      <c r="Q80" t="n">
        <v>0</v>
      </c>
      <c r="R80" t="n">
        <v>0</v>
      </c>
      <c r="S80" t="n">
        <v>1</v>
      </c>
      <c r="T80" t="n">
        <v>1</v>
      </c>
      <c r="U80" s="2" t="inlineStr">
        <is>
          <t>Tjäder</t>
        </is>
      </c>
      <c r="V80">
        <f>HYPERLINK("https://klasma.github.io/Logging_0760/artfynd/A 30110-2022 artfynd.xlsx", "A 30110-2022")</f>
        <v/>
      </c>
      <c r="W80">
        <f>HYPERLINK("https://klasma.github.io/Logging_0760/kartor/A 30110-2022 karta.png", "A 30110-2022")</f>
        <v/>
      </c>
      <c r="Y80">
        <f>HYPERLINK("https://klasma.github.io/Logging_0760/klagomål/A 30110-2022 FSC-klagomål.docx", "A 30110-2022")</f>
        <v/>
      </c>
      <c r="Z80">
        <f>HYPERLINK("https://klasma.github.io/Logging_0760/klagomålsmail/A 30110-2022 FSC-klagomål mail.docx", "A 30110-2022")</f>
        <v/>
      </c>
      <c r="AA80">
        <f>HYPERLINK("https://klasma.github.io/Logging_0760/tillsyn/A 30110-2022 tillsynsbegäran.docx", "A 30110-2022")</f>
        <v/>
      </c>
      <c r="AB80">
        <f>HYPERLINK("https://klasma.github.io/Logging_0760/tillsynsmail/A 30110-2022 tillsynsbegäran mail.docx", "A 30110-2022")</f>
        <v/>
      </c>
      <c r="AC80">
        <f>HYPERLINK("https://klasma.github.io/Logging_0760/fåglar/A 30110-2022 prioriterade fågelarter.docx", "A 30110-2022")</f>
        <v/>
      </c>
    </row>
    <row r="81" ht="15" customHeight="1">
      <c r="A81" t="inlineStr">
        <is>
          <t>A 49123-2022</t>
        </is>
      </c>
      <c r="B81" t="inlineStr">
        <is>
          <t>avverkningsanmälan</t>
        </is>
      </c>
      <c r="C81" t="inlineStr">
        <is>
          <t>Föryngringsavverkning</t>
        </is>
      </c>
      <c r="D81" s="1" t="n">
        <v>44858</v>
      </c>
      <c r="E81" s="1" t="n">
        <v>46217</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s="2" t="inlineStr">
        <is>
          <t>Mattlummer</t>
        </is>
      </c>
      <c r="V81">
        <f>HYPERLINK("https://klasma.github.io/Logging_0760/artfynd/A 49123-2022 artfynd.xlsx", "A 49123-2022")</f>
        <v/>
      </c>
      <c r="W81">
        <f>HYPERLINK("https://klasma.github.io/Logging_0760/kartor/A 49123-2022 karta.png", "A 49123-2022")</f>
        <v/>
      </c>
      <c r="Y81">
        <f>HYPERLINK("https://klasma.github.io/Logging_0760/klagomål/A 49123-2022 FSC-klagomål.docx", "A 49123-2022")</f>
        <v/>
      </c>
      <c r="Z81">
        <f>HYPERLINK("https://klasma.github.io/Logging_0760/klagomålsmail/A 49123-2022 FSC-klagomål mail.docx", "A 49123-2022")</f>
        <v/>
      </c>
      <c r="AA81">
        <f>HYPERLINK("https://klasma.github.io/Logging_0760/tillsyn/A 49123-2022 tillsynsbegäran.docx", "A 49123-2022")</f>
        <v/>
      </c>
      <c r="AB81">
        <f>HYPERLINK("https://klasma.github.io/Logging_0760/tillsynsmail/A 49123-2022 tillsynsbegäran mail.docx", "A 49123-2022")</f>
        <v/>
      </c>
    </row>
    <row r="82" ht="15" customHeight="1">
      <c r="A82" t="inlineStr">
        <is>
          <t>A 29154-2023</t>
        </is>
      </c>
      <c r="B82" t="inlineStr">
        <is>
          <t>avverkningsanmälan</t>
        </is>
      </c>
      <c r="C82" t="inlineStr">
        <is>
          <t>Föryngringsavverkning</t>
        </is>
      </c>
      <c r="D82" s="1" t="n">
        <v>45105</v>
      </c>
      <c r="E82" s="1" t="n">
        <v>46217</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s="2" t="inlineStr">
        <is>
          <t>Slåttergubbe</t>
        </is>
      </c>
      <c r="V82">
        <f>HYPERLINK("https://klasma.github.io/Logging_0760/artfynd/A 29154-2023 artfynd.xlsx", "A 29154-2023")</f>
        <v/>
      </c>
      <c r="W82">
        <f>HYPERLINK("https://klasma.github.io/Logging_0760/kartor/A 29154-2023 karta.png", "A 29154-2023")</f>
        <v/>
      </c>
      <c r="Y82">
        <f>HYPERLINK("https://klasma.github.io/Logging_0760/klagomål/A 29154-2023 FSC-klagomål.docx", "A 29154-2023")</f>
        <v/>
      </c>
      <c r="Z82">
        <f>HYPERLINK("https://klasma.github.io/Logging_0760/klagomålsmail/A 29154-2023 FSC-klagomål mail.docx", "A 29154-2023")</f>
        <v/>
      </c>
      <c r="AA82">
        <f>HYPERLINK("https://klasma.github.io/Logging_0760/tillsyn/A 29154-2023 tillsynsbegäran.docx", "A 29154-2023")</f>
        <v/>
      </c>
      <c r="AB82">
        <f>HYPERLINK("https://klasma.github.io/Logging_0760/tillsynsmail/A 29154-2023 tillsynsbegäran mail.docx", "A 29154-2023")</f>
        <v/>
      </c>
    </row>
    <row r="83" ht="15" customHeight="1">
      <c r="A83" t="inlineStr">
        <is>
          <t>A 32963-2024</t>
        </is>
      </c>
      <c r="B83" t="inlineStr">
        <is>
          <t>avverkningsanmälan</t>
        </is>
      </c>
      <c r="C83" t="inlineStr">
        <is>
          <t>Föryngringsavverkning</t>
        </is>
      </c>
      <c r="D83" s="1" t="n">
        <v>45517</v>
      </c>
      <c r="E83" s="1" t="n">
        <v>46217</v>
      </c>
      <c r="F83" t="inlineStr">
        <is>
          <t>KRONOBERGS LÄN</t>
        </is>
      </c>
      <c r="G83" t="inlineStr">
        <is>
          <t>UPPVIDINGE</t>
        </is>
      </c>
      <c r="I83" t="n">
        <v>4.9</v>
      </c>
      <c r="J83" t="n">
        <v>1</v>
      </c>
      <c r="K83" t="n">
        <v>0</v>
      </c>
      <c r="L83" t="n">
        <v>0</v>
      </c>
      <c r="M83" t="n">
        <v>0</v>
      </c>
      <c r="N83" t="n">
        <v>0</v>
      </c>
      <c r="O83" t="n">
        <v>0</v>
      </c>
      <c r="P83" t="n">
        <v>0</v>
      </c>
      <c r="Q83" t="n">
        <v>0</v>
      </c>
      <c r="R83" t="n">
        <v>0</v>
      </c>
      <c r="S83" t="n">
        <v>1</v>
      </c>
      <c r="T83" t="n">
        <v>1</v>
      </c>
      <c r="U83" s="2" t="inlineStr">
        <is>
          <t>Kungsfågel</t>
        </is>
      </c>
      <c r="V83">
        <f>HYPERLINK("https://klasma.github.io/Logging_0760/artfynd/A 32963-2024 artfynd.xlsx", "A 32963-2024")</f>
        <v/>
      </c>
      <c r="W83">
        <f>HYPERLINK("https://klasma.github.io/Logging_0760/kartor/A 32963-2024 karta.png", "A 32963-2024")</f>
        <v/>
      </c>
      <c r="Y83">
        <f>HYPERLINK("https://klasma.github.io/Logging_0760/klagomål/A 32963-2024 FSC-klagomål.docx", "A 32963-2024")</f>
        <v/>
      </c>
      <c r="Z83">
        <f>HYPERLINK("https://klasma.github.io/Logging_0760/klagomålsmail/A 32963-2024 FSC-klagomål mail.docx", "A 32963-2024")</f>
        <v/>
      </c>
      <c r="AA83">
        <f>HYPERLINK("https://klasma.github.io/Logging_0760/tillsyn/A 32963-2024 tillsynsbegäran.docx", "A 32963-2024")</f>
        <v/>
      </c>
      <c r="AB83">
        <f>HYPERLINK("https://klasma.github.io/Logging_0760/tillsynsmail/A 32963-2024 tillsynsbegäran mail.docx", "A 32963-2024")</f>
        <v/>
      </c>
    </row>
    <row r="84" ht="15" customHeight="1">
      <c r="A84" t="inlineStr">
        <is>
          <t>A 36242-2024</t>
        </is>
      </c>
      <c r="B84" t="inlineStr">
        <is>
          <t>avverkningsanmälan</t>
        </is>
      </c>
      <c r="C84" t="inlineStr">
        <is>
          <t>Avverkning för annat ändamål</t>
        </is>
      </c>
      <c r="D84" s="1" t="n">
        <v>45534</v>
      </c>
      <c r="E84" s="1" t="n">
        <v>46217</v>
      </c>
      <c r="F84" t="inlineStr">
        <is>
          <t>KRONOBERGS LÄN</t>
        </is>
      </c>
      <c r="G84" t="inlineStr">
        <is>
          <t>UPPVIDINGE</t>
        </is>
      </c>
      <c r="I84" t="n">
        <v>0.8</v>
      </c>
      <c r="J84" t="n">
        <v>0</v>
      </c>
      <c r="K84" t="n">
        <v>1</v>
      </c>
      <c r="L84" t="n">
        <v>0</v>
      </c>
      <c r="M84" t="n">
        <v>0</v>
      </c>
      <c r="N84" t="n">
        <v>0</v>
      </c>
      <c r="O84" t="n">
        <v>0</v>
      </c>
      <c r="P84" t="n">
        <v>0</v>
      </c>
      <c r="Q84" t="n">
        <v>0</v>
      </c>
      <c r="R84" t="n">
        <v>0</v>
      </c>
      <c r="S84" t="n">
        <v>1</v>
      </c>
      <c r="T84" t="n">
        <v>3</v>
      </c>
      <c r="U84" s="2" t="inlineStr">
        <is>
          <t>Sotlav</t>
        </is>
      </c>
      <c r="V84">
        <f>HYPERLINK("https://klasma.github.io/Logging_0760/artfynd/A 36242-2024 artfynd.xlsx", "A 36242-2024")</f>
        <v/>
      </c>
      <c r="W84">
        <f>HYPERLINK("https://klasma.github.io/Logging_0760/kartor/A 36242-2024 karta.png", "A 36242-2024")</f>
        <v/>
      </c>
      <c r="Y84">
        <f>HYPERLINK("https://klasma.github.io/Logging_0760/klagomål/A 36242-2024 FSC-klagomål.docx", "A 36242-2024")</f>
        <v/>
      </c>
      <c r="Z84">
        <f>HYPERLINK("https://klasma.github.io/Logging_0760/klagomålsmail/A 36242-2024 FSC-klagomål mail.docx", "A 36242-2024")</f>
        <v/>
      </c>
      <c r="AA84">
        <f>HYPERLINK("https://klasma.github.io/Logging_0760/tillsyn/A 36242-2024 tillsynsbegäran.docx", "A 36242-2024")</f>
        <v/>
      </c>
      <c r="AB84">
        <f>HYPERLINK("https://klasma.github.io/Logging_0760/tillsynsmail/A 36242-2024 tillsynsbegäran mail.docx", "A 36242-2024")</f>
        <v/>
      </c>
    </row>
    <row r="85" ht="15" customHeight="1">
      <c r="A85" t="inlineStr">
        <is>
          <t>A 28798-2025</t>
        </is>
      </c>
      <c r="B85" t="inlineStr">
        <is>
          <t>avverkningsanmälan</t>
        </is>
      </c>
      <c r="C85" t="inlineStr">
        <is>
          <t>Föryngringsavverkning</t>
        </is>
      </c>
      <c r="D85" s="1" t="n">
        <v>45820</v>
      </c>
      <c r="E85" s="1" t="n">
        <v>46217</v>
      </c>
      <c r="F85" t="inlineStr">
        <is>
          <t>KRONOBERGS LÄN</t>
        </is>
      </c>
      <c r="G85" t="inlineStr">
        <is>
          <t>UPPVIDINGE</t>
        </is>
      </c>
      <c r="I85" t="n">
        <v>1.2</v>
      </c>
      <c r="J85" t="n">
        <v>0</v>
      </c>
      <c r="K85" t="n">
        <v>0</v>
      </c>
      <c r="L85" t="n">
        <v>0</v>
      </c>
      <c r="M85" t="n">
        <v>1</v>
      </c>
      <c r="N85" t="n">
        <v>0</v>
      </c>
      <c r="O85" t="n">
        <v>0</v>
      </c>
      <c r="P85" t="n">
        <v>0</v>
      </c>
      <c r="Q85" t="n">
        <v>1</v>
      </c>
      <c r="R85" t="n">
        <v>1</v>
      </c>
      <c r="S85" t="n">
        <v>1</v>
      </c>
      <c r="T85" t="n">
        <v>1</v>
      </c>
      <c r="U85" s="2" t="inlineStr">
        <is>
          <t>Igelkott</t>
        </is>
      </c>
      <c r="V85">
        <f>HYPERLINK("https://klasma.github.io/Logging_0760/artfynd/A 28798-2025 artfynd.xlsx", "A 28798-2025")</f>
        <v/>
      </c>
      <c r="W85">
        <f>HYPERLINK("https://klasma.github.io/Logging_0760/kartor/A 28798-2025 karta.png", "A 28798-2025")</f>
        <v/>
      </c>
      <c r="Y85">
        <f>HYPERLINK("https://klasma.github.io/Logging_0760/klagomål/A 28798-2025 FSC-klagomål.docx", "A 28798-2025")</f>
        <v/>
      </c>
      <c r="Z85">
        <f>HYPERLINK("https://klasma.github.io/Logging_0760/klagomålsmail/A 28798-2025 FSC-klagomål mail.docx", "A 28798-2025")</f>
        <v/>
      </c>
      <c r="AA85">
        <f>HYPERLINK("https://klasma.github.io/Logging_0760/tillsyn/A 28798-2025 tillsynsbegäran.docx", "A 28798-2025")</f>
        <v/>
      </c>
      <c r="AB85">
        <f>HYPERLINK("https://klasma.github.io/Logging_0760/tillsynsmail/A 28798-2025 tillsynsbegäran mail.docx", "A 28798-2025")</f>
        <v/>
      </c>
    </row>
    <row r="86" ht="15" customHeight="1">
      <c r="A86" t="inlineStr">
        <is>
          <t>A 29988-2025</t>
        </is>
      </c>
      <c r="B86" t="inlineStr">
        <is>
          <t>avverkningsanmälan</t>
        </is>
      </c>
      <c r="C86" t="inlineStr">
        <is>
          <t>Föryngringsavverkning</t>
        </is>
      </c>
      <c r="D86" s="1" t="n">
        <v>45826</v>
      </c>
      <c r="E86" s="1" t="n">
        <v>46217</v>
      </c>
      <c r="F86" t="inlineStr">
        <is>
          <t>KRONOBERGS LÄN</t>
        </is>
      </c>
      <c r="G86" t="inlineStr">
        <is>
          <t>UPPVIDINGE</t>
        </is>
      </c>
      <c r="I86" t="n">
        <v>1.1</v>
      </c>
      <c r="J86" t="n">
        <v>0</v>
      </c>
      <c r="K86" t="n">
        <v>0</v>
      </c>
      <c r="L86" t="n">
        <v>0</v>
      </c>
      <c r="M86" t="n">
        <v>1</v>
      </c>
      <c r="N86" t="n">
        <v>0</v>
      </c>
      <c r="O86" t="n">
        <v>0</v>
      </c>
      <c r="P86" t="n">
        <v>0</v>
      </c>
      <c r="Q86" t="n">
        <v>1</v>
      </c>
      <c r="R86" t="n">
        <v>1</v>
      </c>
      <c r="S86" t="n">
        <v>1</v>
      </c>
      <c r="T86" t="n">
        <v>3</v>
      </c>
      <c r="U86" s="2" t="inlineStr">
        <is>
          <t>Slåttergubbe</t>
        </is>
      </c>
      <c r="V86">
        <f>HYPERLINK("https://klasma.github.io/Logging_0760/artfynd/A 29988-2025 artfynd.xlsx", "A 29988-2025")</f>
        <v/>
      </c>
      <c r="W86">
        <f>HYPERLINK("https://klasma.github.io/Logging_0760/kartor/A 29988-2025 karta.png", "A 29988-2025")</f>
        <v/>
      </c>
      <c r="Y86">
        <f>HYPERLINK("https://klasma.github.io/Logging_0760/klagomål/A 29988-2025 FSC-klagomål.docx", "A 29988-2025")</f>
        <v/>
      </c>
      <c r="Z86">
        <f>HYPERLINK("https://klasma.github.io/Logging_0760/klagomålsmail/A 29988-2025 FSC-klagomål mail.docx", "A 29988-2025")</f>
        <v/>
      </c>
      <c r="AA86">
        <f>HYPERLINK("https://klasma.github.io/Logging_0760/tillsyn/A 29988-2025 tillsynsbegäran.docx", "A 29988-2025")</f>
        <v/>
      </c>
      <c r="AB86">
        <f>HYPERLINK("https://klasma.github.io/Logging_0760/tillsynsmail/A 29988-2025 tillsynsbegäran mail.docx", "A 29988-2025")</f>
        <v/>
      </c>
    </row>
    <row r="87" ht="15" customHeight="1">
      <c r="A87" t="inlineStr">
        <is>
          <t>A 29643-2025</t>
        </is>
      </c>
      <c r="B87" t="inlineStr">
        <is>
          <t>avverkningsanmälan</t>
        </is>
      </c>
      <c r="C87" t="inlineStr">
        <is>
          <t>Föryngringsavverkning</t>
        </is>
      </c>
      <c r="D87" s="1" t="n">
        <v>45825</v>
      </c>
      <c r="E87" s="1" t="n">
        <v>46217</v>
      </c>
      <c r="F87" t="inlineStr">
        <is>
          <t>KRONOBERGS LÄN</t>
        </is>
      </c>
      <c r="G87" t="inlineStr">
        <is>
          <t>UPPVIDINGE</t>
        </is>
      </c>
      <c r="I87" t="n">
        <v>3.8</v>
      </c>
      <c r="J87" t="n">
        <v>1</v>
      </c>
      <c r="K87" t="n">
        <v>0</v>
      </c>
      <c r="L87" t="n">
        <v>1</v>
      </c>
      <c r="M87" t="n">
        <v>0</v>
      </c>
      <c r="N87" t="n">
        <v>0</v>
      </c>
      <c r="O87" t="n">
        <v>0</v>
      </c>
      <c r="P87" t="n">
        <v>0</v>
      </c>
      <c r="Q87" t="n">
        <v>1</v>
      </c>
      <c r="R87" t="n">
        <v>0</v>
      </c>
      <c r="S87" t="n">
        <v>1</v>
      </c>
      <c r="T87" t="n">
        <v>1</v>
      </c>
      <c r="U87" s="2" t="inlineStr">
        <is>
          <t>Nordfladdermus</t>
        </is>
      </c>
      <c r="V87">
        <f>HYPERLINK("https://klasma.github.io/Logging_0760/artfynd/A 29643-2025 artfynd.xlsx", "A 29643-2025")</f>
        <v/>
      </c>
      <c r="W87">
        <f>HYPERLINK("https://klasma.github.io/Logging_0760/kartor/A 29643-2025 karta.png", "A 29643-2025")</f>
        <v/>
      </c>
      <c r="Y87">
        <f>HYPERLINK("https://klasma.github.io/Logging_0760/klagomål/A 29643-2025 FSC-klagomål.docx", "A 29643-2025")</f>
        <v/>
      </c>
      <c r="Z87">
        <f>HYPERLINK("https://klasma.github.io/Logging_0760/klagomålsmail/A 29643-2025 FSC-klagomål mail.docx", "A 29643-2025")</f>
        <v/>
      </c>
      <c r="AA87">
        <f>HYPERLINK("https://klasma.github.io/Logging_0760/tillsyn/A 29643-2025 tillsynsbegäran.docx", "A 29643-2025")</f>
        <v/>
      </c>
      <c r="AB87">
        <f>HYPERLINK("https://klasma.github.io/Logging_0760/tillsynsmail/A 29643-2025 tillsynsbegäran mail.docx", "A 29643-2025")</f>
        <v/>
      </c>
    </row>
    <row r="88" ht="15" customHeight="1">
      <c r="A88" t="inlineStr">
        <is>
          <t>A 33100-2025</t>
        </is>
      </c>
      <c r="B88" t="inlineStr">
        <is>
          <t>avverkningsanmälan</t>
        </is>
      </c>
      <c r="C88" t="inlineStr">
        <is>
          <t>Föryngringsavverkning</t>
        </is>
      </c>
      <c r="D88" s="1" t="n">
        <v>45840</v>
      </c>
      <c r="E88" s="1" t="n">
        <v>46217</v>
      </c>
      <c r="F88" t="inlineStr">
        <is>
          <t>KRONOBERGS LÄN</t>
        </is>
      </c>
      <c r="G88" t="inlineStr">
        <is>
          <t>UPPVIDINGE</t>
        </is>
      </c>
      <c r="I88" t="n">
        <v>0.8</v>
      </c>
      <c r="J88" t="n">
        <v>0</v>
      </c>
      <c r="K88" t="n">
        <v>0</v>
      </c>
      <c r="L88" t="n">
        <v>1</v>
      </c>
      <c r="M88" t="n">
        <v>0</v>
      </c>
      <c r="N88" t="n">
        <v>0</v>
      </c>
      <c r="O88" t="n">
        <v>0</v>
      </c>
      <c r="P88" t="n">
        <v>0</v>
      </c>
      <c r="Q88" t="n">
        <v>1</v>
      </c>
      <c r="R88" t="n">
        <v>0</v>
      </c>
      <c r="S88" t="n">
        <v>1</v>
      </c>
      <c r="T88" t="n">
        <v>1</v>
      </c>
      <c r="U88" s="2" t="inlineStr">
        <is>
          <t>Fjällig taggsvamp s.str.</t>
        </is>
      </c>
      <c r="V88">
        <f>HYPERLINK("https://klasma.github.io/Logging_0760/artfynd/A 33100-2025 artfynd.xlsx", "A 33100-2025")</f>
        <v/>
      </c>
      <c r="W88">
        <f>HYPERLINK("https://klasma.github.io/Logging_0760/kartor/A 33100-2025 karta.png", "A 33100-2025")</f>
        <v/>
      </c>
      <c r="Y88">
        <f>HYPERLINK("https://klasma.github.io/Logging_0760/klagomål/A 33100-2025 FSC-klagomål.docx", "A 33100-2025")</f>
        <v/>
      </c>
      <c r="Z88">
        <f>HYPERLINK("https://klasma.github.io/Logging_0760/klagomålsmail/A 33100-2025 FSC-klagomål mail.docx", "A 33100-2025")</f>
        <v/>
      </c>
      <c r="AA88">
        <f>HYPERLINK("https://klasma.github.io/Logging_0760/tillsyn/A 33100-2025 tillsynsbegäran.docx", "A 33100-2025")</f>
        <v/>
      </c>
      <c r="AB88">
        <f>HYPERLINK("https://klasma.github.io/Logging_0760/tillsynsmail/A 33100-2025 tillsynsbegäran mail.docx", "A 33100-2025")</f>
        <v/>
      </c>
    </row>
    <row r="89" ht="15" customHeight="1">
      <c r="A89" t="inlineStr">
        <is>
          <t>S 1866-2024</t>
        </is>
      </c>
      <c r="B89" t="inlineStr">
        <is>
          <t>samrådsanmälan</t>
        </is>
      </c>
      <c r="C89" t="inlineStr">
        <is>
          <t>Annan skogsbruksåtgärd</t>
        </is>
      </c>
      <c r="D89" s="1" t="n">
        <v>45440</v>
      </c>
      <c r="E89" s="1" t="n">
        <v>46217</v>
      </c>
      <c r="F89" t="inlineStr">
        <is>
          <t>KRONOBERGS LÄN</t>
        </is>
      </c>
      <c r="G89" t="inlineStr">
        <is>
          <t>UPPVIDINGE</t>
        </is>
      </c>
      <c r="I89" t="n">
        <v>1</v>
      </c>
      <c r="J89" t="n">
        <v>1</v>
      </c>
      <c r="K89" t="n">
        <v>0</v>
      </c>
      <c r="L89" t="n">
        <v>0</v>
      </c>
      <c r="M89" t="n">
        <v>0</v>
      </c>
      <c r="N89" t="n">
        <v>0</v>
      </c>
      <c r="O89" t="n">
        <v>0</v>
      </c>
      <c r="P89" t="n">
        <v>0</v>
      </c>
      <c r="Q89" t="n">
        <v>0</v>
      </c>
      <c r="R89" t="n">
        <v>0</v>
      </c>
      <c r="S89" t="n">
        <v>1</v>
      </c>
      <c r="T89" t="n">
        <v>1</v>
      </c>
      <c r="U89" s="2" t="inlineStr">
        <is>
          <t>Blåsippa</t>
        </is>
      </c>
      <c r="V89">
        <f>HYPERLINK("https://klasma.github.io/Logging_0760/artfynd/S 1866-2024 artfynd.xlsx", "S 1866-2024")</f>
        <v/>
      </c>
      <c r="W89">
        <f>HYPERLINK("https://klasma.github.io/Logging_0760/kartor/S 1866-2024 karta.png", "S 1866-2024")</f>
        <v/>
      </c>
      <c r="Y89">
        <f>HYPERLINK("https://klasma.github.io/Logging_0760/klagomål/S 1866-2024 FSC-klagomål.docx", "S 1866-2024")</f>
        <v/>
      </c>
      <c r="Z89">
        <f>HYPERLINK("https://klasma.github.io/Logging_0760/klagomålsmail/S 1866-2024 FSC-klagomål mail.docx", "S 1866-2024")</f>
        <v/>
      </c>
      <c r="AA89">
        <f>HYPERLINK("https://klasma.github.io/Logging_0760/tillsyn/S 1866-2024 tillsynsbegäran.docx", "S 1866-2024")</f>
        <v/>
      </c>
      <c r="AB89">
        <f>HYPERLINK("https://klasma.github.io/Logging_0760/tillsynsmail/S 1866-2024 tillsynsbegäran mail.docx", "S 1866-2024")</f>
        <v/>
      </c>
    </row>
    <row r="90" ht="15" customHeight="1">
      <c r="A90" t="inlineStr">
        <is>
          <t>S 606-2023</t>
        </is>
      </c>
      <c r="B90" t="inlineStr">
        <is>
          <t>samrådsanmälan</t>
        </is>
      </c>
      <c r="C90" t="inlineStr">
        <is>
          <t>Askåterföring</t>
        </is>
      </c>
      <c r="D90" s="1" t="n">
        <v>44972</v>
      </c>
      <c r="E90" s="1" t="n">
        <v>46217</v>
      </c>
      <c r="F90" t="inlineStr">
        <is>
          <t>KRONOBERGS LÄN</t>
        </is>
      </c>
      <c r="G90" t="inlineStr">
        <is>
          <t>UPPVIDINGE</t>
        </is>
      </c>
      <c r="H90" t="inlineStr">
        <is>
          <t>Sveaskog</t>
        </is>
      </c>
      <c r="I90" t="n">
        <v>155</v>
      </c>
      <c r="J90" t="n">
        <v>1</v>
      </c>
      <c r="K90" t="n">
        <v>0</v>
      </c>
      <c r="L90" t="n">
        <v>0</v>
      </c>
      <c r="M90" t="n">
        <v>0</v>
      </c>
      <c r="N90" t="n">
        <v>0</v>
      </c>
      <c r="O90" t="n">
        <v>0</v>
      </c>
      <c r="P90" t="n">
        <v>0</v>
      </c>
      <c r="Q90" t="n">
        <v>0</v>
      </c>
      <c r="R90" t="n">
        <v>0</v>
      </c>
      <c r="S90" t="n">
        <v>1</v>
      </c>
      <c r="T90" t="n">
        <v>1</v>
      </c>
      <c r="U90" s="2" t="inlineStr">
        <is>
          <t>Orre</t>
        </is>
      </c>
      <c r="V90">
        <f>HYPERLINK("https://klasma.github.io/Logging_0760/artfynd/S 606-2023 artfynd.xlsx", "S 606-2023")</f>
        <v/>
      </c>
      <c r="W90">
        <f>HYPERLINK("https://klasma.github.io/Logging_0760/kartor/S 606-2023 karta.png", "S 606-2023")</f>
        <v/>
      </c>
      <c r="Y90">
        <f>HYPERLINK("https://klasma.github.io/Logging_0760/klagomål/S 606-2023 FSC-klagomål.docx", "S 606-2023")</f>
        <v/>
      </c>
      <c r="Z90">
        <f>HYPERLINK("https://klasma.github.io/Logging_0760/klagomålsmail/S 606-2023 FSC-klagomål mail.docx", "S 606-2023")</f>
        <v/>
      </c>
      <c r="AA90">
        <f>HYPERLINK("https://klasma.github.io/Logging_0760/tillsyn/S 606-2023 tillsynsbegäran.docx", "S 606-2023")</f>
        <v/>
      </c>
      <c r="AB90">
        <f>HYPERLINK("https://klasma.github.io/Logging_0760/tillsynsmail/S 606-2023 tillsynsbegäran mail.docx", "S 606-2023")</f>
        <v/>
      </c>
      <c r="AC90">
        <f>HYPERLINK("https://klasma.github.io/Logging_0760/fåglar/S 606-2023 prioriterade fågelarter.docx", "S 606-2023")</f>
        <v/>
      </c>
    </row>
    <row r="91" ht="15" customHeight="1">
      <c r="A91" t="inlineStr">
        <is>
          <t>S 1733-2025</t>
        </is>
      </c>
      <c r="B91" t="inlineStr">
        <is>
          <t>samrådsanmälan</t>
        </is>
      </c>
      <c r="C91" t="inlineStr">
        <is>
          <t>Annan skogsbruksåtgärd</t>
        </is>
      </c>
      <c r="D91" s="1" t="n">
        <v>45810</v>
      </c>
      <c r="E91" s="1" t="n">
        <v>46217</v>
      </c>
      <c r="F91" t="inlineStr">
        <is>
          <t>KRONOBERGS LÄN</t>
        </is>
      </c>
      <c r="G91" t="inlineStr">
        <is>
          <t>UPPVIDINGE</t>
        </is>
      </c>
      <c r="I91" t="n">
        <v>3.1</v>
      </c>
      <c r="J91" t="n">
        <v>1</v>
      </c>
      <c r="K91" t="n">
        <v>0</v>
      </c>
      <c r="L91" t="n">
        <v>0</v>
      </c>
      <c r="M91" t="n">
        <v>0</v>
      </c>
      <c r="N91" t="n">
        <v>0</v>
      </c>
      <c r="O91" t="n">
        <v>0</v>
      </c>
      <c r="P91" t="n">
        <v>0</v>
      </c>
      <c r="Q91" t="n">
        <v>0</v>
      </c>
      <c r="R91" t="n">
        <v>0</v>
      </c>
      <c r="S91" t="n">
        <v>1</v>
      </c>
      <c r="T91" t="n">
        <v>1</v>
      </c>
      <c r="U91" s="2" t="inlineStr">
        <is>
          <t>Större vattensalamander</t>
        </is>
      </c>
      <c r="V91">
        <f>HYPERLINK("https://klasma.github.io/Logging_0760/artfynd/S 1733-2025 artfynd.xlsx", "S 1733-2025")</f>
        <v/>
      </c>
      <c r="W91">
        <f>HYPERLINK("https://klasma.github.io/Logging_0760/kartor/S 1733-2025 karta.png", "S 1733-2025")</f>
        <v/>
      </c>
      <c r="Y91">
        <f>HYPERLINK("https://klasma.github.io/Logging_0760/klagomål/S 1733-2025 FSC-klagomål.docx", "S 1733-2025")</f>
        <v/>
      </c>
      <c r="Z91">
        <f>HYPERLINK("https://klasma.github.io/Logging_0760/klagomålsmail/S 1733-2025 FSC-klagomål mail.docx", "S 1733-2025")</f>
        <v/>
      </c>
      <c r="AA91">
        <f>HYPERLINK("https://klasma.github.io/Logging_0760/tillsyn/S 1733-2025 tillsynsbegäran.docx", "S 1733-2025")</f>
        <v/>
      </c>
      <c r="AB91">
        <f>HYPERLINK("https://klasma.github.io/Logging_0760/tillsynsmail/S 1733-2025 tillsynsbegäran mail.docx", "S 1733-2025")</f>
        <v/>
      </c>
    </row>
    <row r="92" ht="15" customHeight="1">
      <c r="A92" t="inlineStr">
        <is>
          <t>A 50146-2022</t>
        </is>
      </c>
      <c r="B92" t="inlineStr">
        <is>
          <t>avverkningsanmälan</t>
        </is>
      </c>
      <c r="C92" t="inlineStr">
        <is>
          <t>Föryngringsavverkning</t>
        </is>
      </c>
      <c r="D92" s="1" t="n">
        <v>44865</v>
      </c>
      <c r="E92" s="1" t="n">
        <v>46217</v>
      </c>
      <c r="F92" t="inlineStr">
        <is>
          <t>KRONOBERGS LÄN</t>
        </is>
      </c>
      <c r="G92" t="inlineStr">
        <is>
          <t>UPPVIDINGE</t>
        </is>
      </c>
      <c r="I92" t="n">
        <v>1.6</v>
      </c>
      <c r="J92" t="n">
        <v>0</v>
      </c>
      <c r="K92" t="n">
        <v>0</v>
      </c>
      <c r="L92" t="n">
        <v>0</v>
      </c>
      <c r="M92" t="n">
        <v>0</v>
      </c>
      <c r="N92" t="n">
        <v>0</v>
      </c>
      <c r="O92" t="n">
        <v>0</v>
      </c>
      <c r="P92" t="n">
        <v>0</v>
      </c>
      <c r="Q92" t="n">
        <v>0</v>
      </c>
      <c r="R92" t="n">
        <v>0</v>
      </c>
      <c r="S92" t="n">
        <v>0</v>
      </c>
      <c r="T92" t="n">
        <v>0</v>
      </c>
      <c r="U92" s="2" t="inlineStr"/>
    </row>
    <row r="93" ht="15" customHeight="1">
      <c r="A93" t="inlineStr">
        <is>
          <t>A 55322-2022</t>
        </is>
      </c>
      <c r="B93" t="inlineStr">
        <is>
          <t>avverkningsanmälan</t>
        </is>
      </c>
      <c r="C93" t="inlineStr">
        <is>
          <t>Föryngringsavverkning</t>
        </is>
      </c>
      <c r="D93" s="1" t="n">
        <v>44887</v>
      </c>
      <c r="E93" s="1" t="n">
        <v>46217</v>
      </c>
      <c r="F93" t="inlineStr">
        <is>
          <t>KRONOBERGS LÄN</t>
        </is>
      </c>
      <c r="G93" t="inlineStr">
        <is>
          <t>UPPVIDINGE</t>
        </is>
      </c>
      <c r="I93" t="n">
        <v>1.7</v>
      </c>
      <c r="J93" t="n">
        <v>0</v>
      </c>
      <c r="K93" t="n">
        <v>0</v>
      </c>
      <c r="L93" t="n">
        <v>0</v>
      </c>
      <c r="M93" t="n">
        <v>0</v>
      </c>
      <c r="N93" t="n">
        <v>0</v>
      </c>
      <c r="O93" t="n">
        <v>0</v>
      </c>
      <c r="P93" t="n">
        <v>0</v>
      </c>
      <c r="Q93" t="n">
        <v>0</v>
      </c>
      <c r="R93" t="n">
        <v>0</v>
      </c>
      <c r="S93" t="n">
        <v>0</v>
      </c>
      <c r="T93" t="n">
        <v>0</v>
      </c>
      <c r="U93" s="2" t="inlineStr"/>
    </row>
    <row r="94" ht="15" customHeight="1">
      <c r="A94" t="inlineStr">
        <is>
          <t>A 55324-2022</t>
        </is>
      </c>
      <c r="B94" t="inlineStr">
        <is>
          <t>avverkningsanmälan</t>
        </is>
      </c>
      <c r="C94" t="inlineStr">
        <is>
          <t>Föryngringsavverkning</t>
        </is>
      </c>
      <c r="D94" s="1" t="n">
        <v>44887</v>
      </c>
      <c r="E94" s="1" t="n">
        <v>46217</v>
      </c>
      <c r="F94" t="inlineStr">
        <is>
          <t>KRONOBERGS LÄN</t>
        </is>
      </c>
      <c r="G94" t="inlineStr">
        <is>
          <t>UPPVIDINGE</t>
        </is>
      </c>
      <c r="I94" t="n">
        <v>1.9</v>
      </c>
      <c r="J94" t="n">
        <v>0</v>
      </c>
      <c r="K94" t="n">
        <v>0</v>
      </c>
      <c r="L94" t="n">
        <v>0</v>
      </c>
      <c r="M94" t="n">
        <v>0</v>
      </c>
      <c r="N94" t="n">
        <v>0</v>
      </c>
      <c r="O94" t="n">
        <v>0</v>
      </c>
      <c r="P94" t="n">
        <v>0</v>
      </c>
      <c r="Q94" t="n">
        <v>0</v>
      </c>
      <c r="R94" t="n">
        <v>0</v>
      </c>
      <c r="S94" t="n">
        <v>0</v>
      </c>
      <c r="T94" t="n">
        <v>0</v>
      </c>
      <c r="U94" s="2" t="inlineStr"/>
    </row>
    <row r="95" ht="15" customHeight="1">
      <c r="A95" t="inlineStr">
        <is>
          <t>A 67427-2021</t>
        </is>
      </c>
      <c r="B95" t="inlineStr">
        <is>
          <t>avverkningsanmälan</t>
        </is>
      </c>
      <c r="C95" t="inlineStr">
        <is>
          <t>Föryngringsavverkning</t>
        </is>
      </c>
      <c r="D95" s="1" t="n">
        <v>44524</v>
      </c>
      <c r="E95" s="1" t="n">
        <v>46217</v>
      </c>
      <c r="F95" t="inlineStr">
        <is>
          <t>KRONOBERGS LÄN</t>
        </is>
      </c>
      <c r="G95" t="inlineStr">
        <is>
          <t>UPPVIDINGE</t>
        </is>
      </c>
      <c r="I95" t="n">
        <v>0.9</v>
      </c>
      <c r="J95" t="n">
        <v>0</v>
      </c>
      <c r="K95" t="n">
        <v>0</v>
      </c>
      <c r="L95" t="n">
        <v>0</v>
      </c>
      <c r="M95" t="n">
        <v>0</v>
      </c>
      <c r="N95" t="n">
        <v>0</v>
      </c>
      <c r="O95" t="n">
        <v>0</v>
      </c>
      <c r="P95" t="n">
        <v>0</v>
      </c>
      <c r="Q95" t="n">
        <v>0</v>
      </c>
      <c r="R95" t="n">
        <v>0</v>
      </c>
      <c r="S95" t="n">
        <v>0</v>
      </c>
      <c r="T95" t="n">
        <v>0</v>
      </c>
      <c r="U95" s="2" t="inlineStr"/>
    </row>
    <row r="96" ht="15" customHeight="1">
      <c r="A96" t="inlineStr">
        <is>
          <t>A 8652-2022</t>
        </is>
      </c>
      <c r="B96" t="inlineStr">
        <is>
          <t>avverkningsanmälan</t>
        </is>
      </c>
      <c r="C96" t="inlineStr">
        <is>
          <t>Föryngringsavverkning</t>
        </is>
      </c>
      <c r="D96" s="1" t="n">
        <v>44613</v>
      </c>
      <c r="E96" s="1" t="n">
        <v>46217</v>
      </c>
      <c r="F96" t="inlineStr">
        <is>
          <t>KRONOBERGS LÄN</t>
        </is>
      </c>
      <c r="G96" t="inlineStr">
        <is>
          <t>UPPVIDINGE</t>
        </is>
      </c>
      <c r="I96" t="n">
        <v>0.4</v>
      </c>
      <c r="J96" t="n">
        <v>0</v>
      </c>
      <c r="K96" t="n">
        <v>0</v>
      </c>
      <c r="L96" t="n">
        <v>0</v>
      </c>
      <c r="M96" t="n">
        <v>0</v>
      </c>
      <c r="N96" t="n">
        <v>0</v>
      </c>
      <c r="O96" t="n">
        <v>0</v>
      </c>
      <c r="P96" t="n">
        <v>0</v>
      </c>
      <c r="Q96" t="n">
        <v>0</v>
      </c>
      <c r="R96" t="n">
        <v>0</v>
      </c>
      <c r="S96" t="n">
        <v>0</v>
      </c>
      <c r="T96" t="n">
        <v>0</v>
      </c>
      <c r="U96" s="2" t="inlineStr"/>
    </row>
    <row r="97" ht="15" customHeight="1">
      <c r="A97" t="inlineStr">
        <is>
          <t>A 57305-2021</t>
        </is>
      </c>
      <c r="B97" t="inlineStr">
        <is>
          <t>avverkningsanmälan</t>
        </is>
      </c>
      <c r="C97" t="inlineStr">
        <is>
          <t>Föryngringsavverkning</t>
        </is>
      </c>
      <c r="D97" s="1" t="n">
        <v>44483</v>
      </c>
      <c r="E97" s="1" t="n">
        <v>46217</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s="2" t="inlineStr"/>
    </row>
    <row r="98" ht="15" customHeight="1">
      <c r="A98" t="inlineStr">
        <is>
          <t>A 47580-2021</t>
        </is>
      </c>
      <c r="B98" t="inlineStr">
        <is>
          <t>avverkningsanmälan</t>
        </is>
      </c>
      <c r="C98" t="inlineStr">
        <is>
          <t>Föryngringsavverkning</t>
        </is>
      </c>
      <c r="D98" s="1" t="n">
        <v>44447</v>
      </c>
      <c r="E98" s="1" t="n">
        <v>46217</v>
      </c>
      <c r="F98" t="inlineStr">
        <is>
          <t>KRONOBERGS LÄN</t>
        </is>
      </c>
      <c r="G98" t="inlineStr">
        <is>
          <t>UPPVIDINGE</t>
        </is>
      </c>
      <c r="I98" t="n">
        <v>2.8</v>
      </c>
      <c r="J98" t="n">
        <v>0</v>
      </c>
      <c r="K98" t="n">
        <v>0</v>
      </c>
      <c r="L98" t="n">
        <v>0</v>
      </c>
      <c r="M98" t="n">
        <v>0</v>
      </c>
      <c r="N98" t="n">
        <v>0</v>
      </c>
      <c r="O98" t="n">
        <v>0</v>
      </c>
      <c r="P98" t="n">
        <v>0</v>
      </c>
      <c r="Q98" t="n">
        <v>0</v>
      </c>
      <c r="R98" t="n">
        <v>0</v>
      </c>
      <c r="S98" t="n">
        <v>0</v>
      </c>
      <c r="T98" t="n">
        <v>0</v>
      </c>
      <c r="U98" s="2" t="inlineStr"/>
    </row>
    <row r="99" ht="15" customHeight="1">
      <c r="A99" t="inlineStr">
        <is>
          <t>A 58109-2021</t>
        </is>
      </c>
      <c r="B99" t="inlineStr">
        <is>
          <t>avverkningsanmälan</t>
        </is>
      </c>
      <c r="C99" t="inlineStr">
        <is>
          <t>Föryngringsavverkning</t>
        </is>
      </c>
      <c r="D99" s="1" t="n">
        <v>44487</v>
      </c>
      <c r="E99" s="1" t="n">
        <v>46217</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s="2" t="inlineStr"/>
    </row>
    <row r="100" ht="15" customHeight="1">
      <c r="A100" t="inlineStr">
        <is>
          <t>A 73660-2021</t>
        </is>
      </c>
      <c r="B100" t="inlineStr">
        <is>
          <t>avverkningsanmälan</t>
        </is>
      </c>
      <c r="C100" t="inlineStr">
        <is>
          <t>Föryngringsavverkning</t>
        </is>
      </c>
      <c r="D100" s="1" t="n">
        <v>44552</v>
      </c>
      <c r="E100" s="1" t="n">
        <v>46217</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1719-2022</t>
        </is>
      </c>
      <c r="B101" t="inlineStr">
        <is>
          <t>avverkningsanmälan</t>
        </is>
      </c>
      <c r="C101" t="inlineStr">
        <is>
          <t>Föryngringsavverkning</t>
        </is>
      </c>
      <c r="D101" s="1" t="n">
        <v>44574</v>
      </c>
      <c r="E101" s="1" t="n">
        <v>46217</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70324-2021</t>
        </is>
      </c>
      <c r="B102" t="inlineStr">
        <is>
          <t>avverkningsanmälan</t>
        </is>
      </c>
      <c r="C102" t="inlineStr">
        <is>
          <t>Föryngringsavverkning</t>
        </is>
      </c>
      <c r="D102" s="1" t="n">
        <v>44536</v>
      </c>
      <c r="E102" s="1" t="n">
        <v>46217</v>
      </c>
      <c r="F102" t="inlineStr">
        <is>
          <t>KRONOBERGS LÄN</t>
        </is>
      </c>
      <c r="G102" t="inlineStr">
        <is>
          <t>UPPVIDINGE</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46217</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64688-2021</t>
        </is>
      </c>
      <c r="B104" t="inlineStr">
        <is>
          <t>avverkningsanmälan</t>
        </is>
      </c>
      <c r="C104" t="inlineStr">
        <is>
          <t>Föryngringsavverkning</t>
        </is>
      </c>
      <c r="D104" s="1" t="n">
        <v>44510</v>
      </c>
      <c r="E104" s="1" t="n">
        <v>46217</v>
      </c>
      <c r="F104" t="inlineStr">
        <is>
          <t>KRONOBERGS LÄN</t>
        </is>
      </c>
      <c r="G104" t="inlineStr">
        <is>
          <t>UPPVIDINGE</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50143-2021</t>
        </is>
      </c>
      <c r="B105" t="inlineStr">
        <is>
          <t>avverkningsanmälan</t>
        </is>
      </c>
      <c r="C105" t="inlineStr">
        <is>
          <t>Avverkning för annat ändamål</t>
        </is>
      </c>
      <c r="D105" s="1" t="n">
        <v>44456</v>
      </c>
      <c r="E105" s="1" t="n">
        <v>46217</v>
      </c>
      <c r="F105" t="inlineStr">
        <is>
          <t>KRONOBERGS LÄN</t>
        </is>
      </c>
      <c r="G105" t="inlineStr">
        <is>
          <t>UPPVIDINGE</t>
        </is>
      </c>
      <c r="H105" t="inlineStr">
        <is>
          <t>Sveaskog</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38267-2022</t>
        </is>
      </c>
      <c r="B106" t="inlineStr">
        <is>
          <t>avverkningsanmälan</t>
        </is>
      </c>
      <c r="C106" t="inlineStr">
        <is>
          <t>Föryngringsavverkning</t>
        </is>
      </c>
      <c r="D106" s="1" t="n">
        <v>44812</v>
      </c>
      <c r="E106" s="1" t="n">
        <v>46217</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49720-2022</t>
        </is>
      </c>
      <c r="B107" t="inlineStr">
        <is>
          <t>avverkningsanmälan</t>
        </is>
      </c>
      <c r="C107" t="inlineStr">
        <is>
          <t>Föryngringsavverkning</t>
        </is>
      </c>
      <c r="D107" s="1" t="n">
        <v>44859</v>
      </c>
      <c r="E107" s="1" t="n">
        <v>46217</v>
      </c>
      <c r="F107" t="inlineStr">
        <is>
          <t>KRONOBERGS LÄN</t>
        </is>
      </c>
      <c r="G107" t="inlineStr">
        <is>
          <t>UPPVIDINGE</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1718-2022</t>
        </is>
      </c>
      <c r="B108" t="inlineStr">
        <is>
          <t>avverkningsanmälan</t>
        </is>
      </c>
      <c r="C108" t="inlineStr">
        <is>
          <t>Föryngringsavverkning</t>
        </is>
      </c>
      <c r="D108" s="1" t="n">
        <v>44574</v>
      </c>
      <c r="E108" s="1" t="n">
        <v>46217</v>
      </c>
      <c r="F108" t="inlineStr">
        <is>
          <t>KRONOBERGS LÄN</t>
        </is>
      </c>
      <c r="G108" t="inlineStr">
        <is>
          <t>UPPVIDINGE</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49748-2022</t>
        </is>
      </c>
      <c r="B109" t="inlineStr">
        <is>
          <t>avverkningsanmälan</t>
        </is>
      </c>
      <c r="C109" t="inlineStr">
        <is>
          <t>Föryngringsavverkning</t>
        </is>
      </c>
      <c r="D109" s="1" t="n">
        <v>44859</v>
      </c>
      <c r="E109" s="1" t="n">
        <v>46217</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16968-2022</t>
        </is>
      </c>
      <c r="B110" t="inlineStr">
        <is>
          <t>avverkningsanmälan</t>
        </is>
      </c>
      <c r="C110" t="inlineStr">
        <is>
          <t>Föryngringsavverkning</t>
        </is>
      </c>
      <c r="D110" s="1" t="n">
        <v>44676</v>
      </c>
      <c r="E110" s="1" t="n">
        <v>46217</v>
      </c>
      <c r="F110" t="inlineStr">
        <is>
          <t>KRONOBERGS LÄN</t>
        </is>
      </c>
      <c r="G110" t="inlineStr">
        <is>
          <t>UPPVIDINGE</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49715-2022</t>
        </is>
      </c>
      <c r="B111" t="inlineStr">
        <is>
          <t>avverkningsanmälan</t>
        </is>
      </c>
      <c r="C111" t="inlineStr">
        <is>
          <t>Föryngringsavverkning</t>
        </is>
      </c>
      <c r="D111" s="1" t="n">
        <v>44859</v>
      </c>
      <c r="E111" s="1" t="n">
        <v>46217</v>
      </c>
      <c r="F111" t="inlineStr">
        <is>
          <t>KRONOBERGS LÄN</t>
        </is>
      </c>
      <c r="G111" t="inlineStr">
        <is>
          <t>UPPVIDINGE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49744-2022</t>
        </is>
      </c>
      <c r="B112" t="inlineStr">
        <is>
          <t>avverkningsanmälan</t>
        </is>
      </c>
      <c r="C112" t="inlineStr">
        <is>
          <t>Föryngringsavverkning</t>
        </is>
      </c>
      <c r="D112" s="1" t="n">
        <v>44859</v>
      </c>
      <c r="E112" s="1" t="n">
        <v>46217</v>
      </c>
      <c r="F112" t="inlineStr">
        <is>
          <t>KRONOBERGS LÄN</t>
        </is>
      </c>
      <c r="G112" t="inlineStr">
        <is>
          <t>UPPVIDINGE</t>
        </is>
      </c>
      <c r="I112" t="n">
        <v>2.8</v>
      </c>
      <c r="J112" t="n">
        <v>0</v>
      </c>
      <c r="K112" t="n">
        <v>0</v>
      </c>
      <c r="L112" t="n">
        <v>0</v>
      </c>
      <c r="M112" t="n">
        <v>0</v>
      </c>
      <c r="N112" t="n">
        <v>0</v>
      </c>
      <c r="O112" t="n">
        <v>0</v>
      </c>
      <c r="P112" t="n">
        <v>0</v>
      </c>
      <c r="Q112" t="n">
        <v>0</v>
      </c>
      <c r="R112" t="n">
        <v>0</v>
      </c>
      <c r="S112" t="n">
        <v>0</v>
      </c>
      <c r="T112" t="n">
        <v>0</v>
      </c>
      <c r="U112" s="2" t="inlineStr"/>
    </row>
    <row r="113" ht="15" customHeight="1">
      <c r="A113" t="inlineStr">
        <is>
          <t>A 28767-2022</t>
        </is>
      </c>
      <c r="B113" t="inlineStr">
        <is>
          <t>avverkningsanmälan</t>
        </is>
      </c>
      <c r="C113" t="inlineStr">
        <is>
          <t>Föryngringsavverkning</t>
        </is>
      </c>
      <c r="D113" s="1" t="n">
        <v>44749</v>
      </c>
      <c r="E113" s="1" t="n">
        <v>46217</v>
      </c>
      <c r="F113" t="inlineStr">
        <is>
          <t>KRONOBERGS LÄN</t>
        </is>
      </c>
      <c r="G113" t="inlineStr">
        <is>
          <t>UPPVIDINGE</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1709-2022</t>
        </is>
      </c>
      <c r="B114" t="inlineStr">
        <is>
          <t>avverkningsanmälan</t>
        </is>
      </c>
      <c r="C114" t="inlineStr">
        <is>
          <t>Föryngringsavverkning</t>
        </is>
      </c>
      <c r="D114" s="1" t="n">
        <v>44574</v>
      </c>
      <c r="E114" s="1" t="n">
        <v>46217</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6929-2022</t>
        </is>
      </c>
      <c r="B115" t="inlineStr">
        <is>
          <t>avverkningsanmälan</t>
        </is>
      </c>
      <c r="C115" t="inlineStr">
        <is>
          <t>Föryngringsavverkning</t>
        </is>
      </c>
      <c r="D115" s="1" t="n">
        <v>44602</v>
      </c>
      <c r="E115" s="1" t="n">
        <v>46217</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2666-2022</t>
        </is>
      </c>
      <c r="B116" t="inlineStr">
        <is>
          <t>avverkningsanmälan</t>
        </is>
      </c>
      <c r="C116" t="inlineStr">
        <is>
          <t>Föryngringsavverkning</t>
        </is>
      </c>
      <c r="D116" s="1" t="n">
        <v>44580</v>
      </c>
      <c r="E116" s="1" t="n">
        <v>46217</v>
      </c>
      <c r="F116" t="inlineStr">
        <is>
          <t>KRONOBERGS LÄN</t>
        </is>
      </c>
      <c r="G116" t="inlineStr">
        <is>
          <t>UPPVIDINGE</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6807-2022</t>
        </is>
      </c>
      <c r="B117" t="inlineStr">
        <is>
          <t>avverkningsanmälan</t>
        </is>
      </c>
      <c r="C117" t="inlineStr">
        <is>
          <t>Föryngringsavverkning</t>
        </is>
      </c>
      <c r="D117" s="1" t="n">
        <v>44602</v>
      </c>
      <c r="E117" s="1" t="n">
        <v>46217</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49706-2022</t>
        </is>
      </c>
      <c r="B118" t="inlineStr">
        <is>
          <t>avverkningsanmälan</t>
        </is>
      </c>
      <c r="C118" t="inlineStr">
        <is>
          <t>Föryngringsavverkning</t>
        </is>
      </c>
      <c r="D118" s="1" t="n">
        <v>44859</v>
      </c>
      <c r="E118" s="1" t="n">
        <v>46217</v>
      </c>
      <c r="F118" t="inlineStr">
        <is>
          <t>KRONOBERGS LÄN</t>
        </is>
      </c>
      <c r="G118" t="inlineStr">
        <is>
          <t>UPPVIDINGE</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42865-2021</t>
        </is>
      </c>
      <c r="B119" t="inlineStr">
        <is>
          <t>avverkningsanmälan</t>
        </is>
      </c>
      <c r="C119" t="inlineStr">
        <is>
          <t>Föryngringsavverkning</t>
        </is>
      </c>
      <c r="D119" s="1" t="n">
        <v>44430</v>
      </c>
      <c r="E119" s="1" t="n">
        <v>46217</v>
      </c>
      <c r="F119" t="inlineStr">
        <is>
          <t>KRONOBERGS LÄN</t>
        </is>
      </c>
      <c r="G119" t="inlineStr">
        <is>
          <t>UPPVIDINGE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34669-2022</t>
        </is>
      </c>
      <c r="B120" t="inlineStr">
        <is>
          <t>avverkningsanmälan</t>
        </is>
      </c>
      <c r="C120" t="inlineStr">
        <is>
          <t>Föryngringsavverkning</t>
        </is>
      </c>
      <c r="D120" s="1" t="n">
        <v>44795</v>
      </c>
      <c r="E120" s="1" t="n">
        <v>46217</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30111-2022</t>
        </is>
      </c>
      <c r="B121" t="inlineStr">
        <is>
          <t>avverkningsanmälan</t>
        </is>
      </c>
      <c r="C121" t="inlineStr">
        <is>
          <t>Föryngringsavverkning</t>
        </is>
      </c>
      <c r="D121" s="1" t="n">
        <v>44757</v>
      </c>
      <c r="E121" s="1" t="n">
        <v>46217</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55325-2022</t>
        </is>
      </c>
      <c r="B122" t="inlineStr">
        <is>
          <t>avverkningsanmälan</t>
        </is>
      </c>
      <c r="C122" t="inlineStr">
        <is>
          <t>Föryngringsavverkning</t>
        </is>
      </c>
      <c r="D122" s="1" t="n">
        <v>44887</v>
      </c>
      <c r="E122" s="1" t="n">
        <v>46217</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4234-2022</t>
        </is>
      </c>
      <c r="B123" t="inlineStr">
        <is>
          <t>avverkningsanmälan</t>
        </is>
      </c>
      <c r="C123" t="inlineStr">
        <is>
          <t>Föryngringsavverkning</t>
        </is>
      </c>
      <c r="D123" s="1" t="n">
        <v>44588</v>
      </c>
      <c r="E123" s="1" t="n">
        <v>46217</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50141-2021</t>
        </is>
      </c>
      <c r="B124" t="inlineStr">
        <is>
          <t>avverkningsanmälan</t>
        </is>
      </c>
      <c r="C124" t="inlineStr">
        <is>
          <t>Avverkning för annat ändamål</t>
        </is>
      </c>
      <c r="D124" s="1" t="n">
        <v>44456</v>
      </c>
      <c r="E124" s="1" t="n">
        <v>46217</v>
      </c>
      <c r="F124" t="inlineStr">
        <is>
          <t>KRONOBERGS LÄN</t>
        </is>
      </c>
      <c r="G124" t="inlineStr">
        <is>
          <t>UPPVIDINGE</t>
        </is>
      </c>
      <c r="H124" t="inlineStr">
        <is>
          <t>Sveaskog</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44121-2021</t>
        </is>
      </c>
      <c r="B125" t="inlineStr">
        <is>
          <t>avverkningsanmälan</t>
        </is>
      </c>
      <c r="C125" t="inlineStr">
        <is>
          <t>Avverkning för annat ändamål</t>
        </is>
      </c>
      <c r="D125" s="1" t="n">
        <v>44434</v>
      </c>
      <c r="E125" s="1" t="n">
        <v>46217</v>
      </c>
      <c r="F125" t="inlineStr">
        <is>
          <t>KRONOBERGS LÄN</t>
        </is>
      </c>
      <c r="G125" t="inlineStr">
        <is>
          <t>UPPVIDINGE</t>
        </is>
      </c>
      <c r="I125" t="n">
        <v>0.2</v>
      </c>
      <c r="J125" t="n">
        <v>0</v>
      </c>
      <c r="K125" t="n">
        <v>0</v>
      </c>
      <c r="L125" t="n">
        <v>0</v>
      </c>
      <c r="M125" t="n">
        <v>0</v>
      </c>
      <c r="N125" t="n">
        <v>0</v>
      </c>
      <c r="O125" t="n">
        <v>0</v>
      </c>
      <c r="P125" t="n">
        <v>0</v>
      </c>
      <c r="Q125" t="n">
        <v>0</v>
      </c>
      <c r="R125" t="n">
        <v>0</v>
      </c>
      <c r="S125" t="n">
        <v>0</v>
      </c>
      <c r="T125" t="n">
        <v>0</v>
      </c>
      <c r="U125" s="2" t="inlineStr"/>
    </row>
    <row r="126" ht="15" customHeight="1">
      <c r="A126" t="inlineStr">
        <is>
          <t>A 46173-2022</t>
        </is>
      </c>
      <c r="B126" t="inlineStr">
        <is>
          <t>avverkningsanmälan</t>
        </is>
      </c>
      <c r="C126" t="inlineStr">
        <is>
          <t>Föryngringsavverkning</t>
        </is>
      </c>
      <c r="D126" s="1" t="n">
        <v>44845</v>
      </c>
      <c r="E126" s="1" t="n">
        <v>46217</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73661-2021</t>
        </is>
      </c>
      <c r="B127" t="inlineStr">
        <is>
          <t>avverkningsanmälan</t>
        </is>
      </c>
      <c r="C127" t="inlineStr">
        <is>
          <t>Föryngringsavverkning</t>
        </is>
      </c>
      <c r="D127" s="1" t="n">
        <v>44552</v>
      </c>
      <c r="E127" s="1" t="n">
        <v>46217</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57470-2021</t>
        </is>
      </c>
      <c r="B128" t="inlineStr">
        <is>
          <t>avverkningsanmälan</t>
        </is>
      </c>
      <c r="C128" t="inlineStr">
        <is>
          <t>Föryngringsavverkning</t>
        </is>
      </c>
      <c r="D128" s="1" t="n">
        <v>44483</v>
      </c>
      <c r="E128" s="1" t="n">
        <v>46217</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57471-2021</t>
        </is>
      </c>
      <c r="B129" t="inlineStr">
        <is>
          <t>avverkningsanmälan</t>
        </is>
      </c>
      <c r="C129" t="inlineStr">
        <is>
          <t>Föryngringsavverkning</t>
        </is>
      </c>
      <c r="D129" s="1" t="n">
        <v>44483</v>
      </c>
      <c r="E129" s="1" t="n">
        <v>46217</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62479-2021</t>
        </is>
      </c>
      <c r="B130" t="inlineStr">
        <is>
          <t>avverkningsanmälan</t>
        </is>
      </c>
      <c r="C130" t="inlineStr">
        <is>
          <t>Föryngringsavverkning</t>
        </is>
      </c>
      <c r="D130" s="1" t="n">
        <v>44503</v>
      </c>
      <c r="E130" s="1" t="n">
        <v>46217</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55353-2021</t>
        </is>
      </c>
      <c r="B131" t="inlineStr">
        <is>
          <t>avverkningsanmälan</t>
        </is>
      </c>
      <c r="C131" t="inlineStr">
        <is>
          <t>Föryngringsavverkning</t>
        </is>
      </c>
      <c r="D131" s="1" t="n">
        <v>44475</v>
      </c>
      <c r="E131" s="1" t="n">
        <v>46217</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64679-2021</t>
        </is>
      </c>
      <c r="B132" t="inlineStr">
        <is>
          <t>avverkningsanmälan</t>
        </is>
      </c>
      <c r="C132" t="inlineStr">
        <is>
          <t>Föryngringsavverkning</t>
        </is>
      </c>
      <c r="D132" s="1" t="n">
        <v>44510</v>
      </c>
      <c r="E132" s="1" t="n">
        <v>46217</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36141-2022</t>
        </is>
      </c>
      <c r="B133" t="inlineStr">
        <is>
          <t>avverkningsanmälan</t>
        </is>
      </c>
      <c r="C133" t="inlineStr">
        <is>
          <t>Föryngringsavverkning</t>
        </is>
      </c>
      <c r="D133" s="1" t="n">
        <v>44803</v>
      </c>
      <c r="E133" s="1" t="n">
        <v>46217</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55317-2022</t>
        </is>
      </c>
      <c r="B134" t="inlineStr">
        <is>
          <t>avverkningsanmälan</t>
        </is>
      </c>
      <c r="C134" t="inlineStr">
        <is>
          <t>Föryngringsavverkning</t>
        </is>
      </c>
      <c r="D134" s="1" t="n">
        <v>44887</v>
      </c>
      <c r="E134" s="1" t="n">
        <v>46217</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8299-2022</t>
        </is>
      </c>
      <c r="B135" t="inlineStr">
        <is>
          <t>avverkningsanmälan</t>
        </is>
      </c>
      <c r="C135" t="inlineStr">
        <is>
          <t>Avverkning för annat ändamål</t>
        </is>
      </c>
      <c r="D135" s="1" t="n">
        <v>44610</v>
      </c>
      <c r="E135" s="1" t="n">
        <v>46217</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8092-2022</t>
        </is>
      </c>
      <c r="B136" t="inlineStr">
        <is>
          <t>avverkningsanmälan</t>
        </is>
      </c>
      <c r="C136" t="inlineStr">
        <is>
          <t>Föryngringsavverkning</t>
        </is>
      </c>
      <c r="D136" s="1" t="n">
        <v>44609</v>
      </c>
      <c r="E136" s="1" t="n">
        <v>46217</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34734-2022</t>
        </is>
      </c>
      <c r="B137" t="inlineStr">
        <is>
          <t>avverkningsanmälan</t>
        </is>
      </c>
      <c r="C137" t="inlineStr">
        <is>
          <t>Föryngringsavverkning</t>
        </is>
      </c>
      <c r="D137" s="1" t="n">
        <v>44795</v>
      </c>
      <c r="E137" s="1" t="n">
        <v>46217</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34735-2022</t>
        </is>
      </c>
      <c r="B138" t="inlineStr">
        <is>
          <t>avverkningsanmälan</t>
        </is>
      </c>
      <c r="C138" t="inlineStr">
        <is>
          <t>Föryngringsavverkning</t>
        </is>
      </c>
      <c r="D138" s="1" t="n">
        <v>44795</v>
      </c>
      <c r="E138" s="1" t="n">
        <v>46217</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3153-2022</t>
        </is>
      </c>
      <c r="B139" t="inlineStr">
        <is>
          <t>avverkningsanmälan</t>
        </is>
      </c>
      <c r="C139" t="inlineStr">
        <is>
          <t>Föryngringsavverkning</t>
        </is>
      </c>
      <c r="D139" s="1" t="n">
        <v>44582</v>
      </c>
      <c r="E139" s="1" t="n">
        <v>46217</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6622-2022</t>
        </is>
      </c>
      <c r="B140" t="inlineStr">
        <is>
          <t>avverkningsanmälan</t>
        </is>
      </c>
      <c r="C140" t="inlineStr">
        <is>
          <t>Föryngringsavverkning</t>
        </is>
      </c>
      <c r="D140" s="1" t="n">
        <v>44601</v>
      </c>
      <c r="E140" s="1" t="n">
        <v>46217</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48273-2022</t>
        </is>
      </c>
      <c r="B141" t="inlineStr">
        <is>
          <t>avverkningsanmälan</t>
        </is>
      </c>
      <c r="C141" t="inlineStr">
        <is>
          <t>Föryngringsavverkning</t>
        </is>
      </c>
      <c r="D141" s="1" t="n">
        <v>44858</v>
      </c>
      <c r="E141" s="1" t="n">
        <v>46217</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21867-2022</t>
        </is>
      </c>
      <c r="B142" t="inlineStr">
        <is>
          <t>avverkningsanmälan</t>
        </is>
      </c>
      <c r="C142" t="inlineStr">
        <is>
          <t>Föryngringsavverkning</t>
        </is>
      </c>
      <c r="D142" s="1" t="n">
        <v>44711</v>
      </c>
      <c r="E142" s="1" t="n">
        <v>46217</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66981-2021</t>
        </is>
      </c>
      <c r="B143" t="inlineStr">
        <is>
          <t>avverkningsanmälan</t>
        </is>
      </c>
      <c r="C143" t="inlineStr">
        <is>
          <t>Föryngringsavverkning</t>
        </is>
      </c>
      <c r="D143" s="1" t="n">
        <v>44522</v>
      </c>
      <c r="E143" s="1" t="n">
        <v>46217</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43549-2022</t>
        </is>
      </c>
      <c r="B144" t="inlineStr">
        <is>
          <t>avverkningsanmälan</t>
        </is>
      </c>
      <c r="C144" t="inlineStr">
        <is>
          <t>Föryngringsavverkning</t>
        </is>
      </c>
      <c r="D144" s="1" t="n">
        <v>44837</v>
      </c>
      <c r="E144" s="1" t="n">
        <v>46217</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49724-2022</t>
        </is>
      </c>
      <c r="B145" t="inlineStr">
        <is>
          <t>avverkningsanmälan</t>
        </is>
      </c>
      <c r="C145" t="inlineStr">
        <is>
          <t>Föryngringsavverkning</t>
        </is>
      </c>
      <c r="D145" s="1" t="n">
        <v>44859</v>
      </c>
      <c r="E145" s="1" t="n">
        <v>46217</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8006-2022</t>
        </is>
      </c>
      <c r="B146" t="inlineStr">
        <is>
          <t>avverkningsanmälan</t>
        </is>
      </c>
      <c r="C146" t="inlineStr">
        <is>
          <t>Föryngringsavverkning</t>
        </is>
      </c>
      <c r="D146" s="1" t="n">
        <v>44607</v>
      </c>
      <c r="E146" s="1" t="n">
        <v>46217</v>
      </c>
      <c r="F146" t="inlineStr">
        <is>
          <t>KRONOBERGS LÄN</t>
        </is>
      </c>
      <c r="G146" t="inlineStr">
        <is>
          <t>UPPVIDINGE</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8013-2022</t>
        </is>
      </c>
      <c r="B147" t="inlineStr">
        <is>
          <t>avverkningsanmälan</t>
        </is>
      </c>
      <c r="C147" t="inlineStr">
        <is>
          <t>Föryngringsavverkning</t>
        </is>
      </c>
      <c r="D147" s="1" t="n">
        <v>44607</v>
      </c>
      <c r="E147" s="1" t="n">
        <v>46217</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s="2" t="inlineStr"/>
    </row>
    <row r="148" ht="15" customHeight="1">
      <c r="A148" t="inlineStr">
        <is>
          <t>A 59281-2021</t>
        </is>
      </c>
      <c r="B148" t="inlineStr">
        <is>
          <t>avverkningsanmälan</t>
        </is>
      </c>
      <c r="C148" t="inlineStr">
        <is>
          <t>Föryngringsavverkning</t>
        </is>
      </c>
      <c r="D148" s="1" t="n">
        <v>44490</v>
      </c>
      <c r="E148" s="1" t="n">
        <v>46217</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55316-2022</t>
        </is>
      </c>
      <c r="B149" t="inlineStr">
        <is>
          <t>avverkningsanmälan</t>
        </is>
      </c>
      <c r="C149" t="inlineStr">
        <is>
          <t>Föryngringsavverkning</t>
        </is>
      </c>
      <c r="D149" s="1" t="n">
        <v>44887</v>
      </c>
      <c r="E149" s="1" t="n">
        <v>46217</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55320-2022</t>
        </is>
      </c>
      <c r="B150" t="inlineStr">
        <is>
          <t>avverkningsanmälan</t>
        </is>
      </c>
      <c r="C150" t="inlineStr">
        <is>
          <t>Föryngringsavverkning</t>
        </is>
      </c>
      <c r="D150" s="1" t="n">
        <v>44887</v>
      </c>
      <c r="E150" s="1" t="n">
        <v>46217</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16970-2022</t>
        </is>
      </c>
      <c r="B151" t="inlineStr">
        <is>
          <t>avverkningsanmälan</t>
        </is>
      </c>
      <c r="C151" t="inlineStr">
        <is>
          <t>Föryngringsavverkning</t>
        </is>
      </c>
      <c r="D151" s="1" t="n">
        <v>44676</v>
      </c>
      <c r="E151" s="1" t="n">
        <v>46217</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55545-2021</t>
        </is>
      </c>
      <c r="B152" t="inlineStr">
        <is>
          <t>avverkningsanmälan</t>
        </is>
      </c>
      <c r="C152" t="inlineStr">
        <is>
          <t>Föryngringsavverkning</t>
        </is>
      </c>
      <c r="D152" s="1" t="n">
        <v>44475</v>
      </c>
      <c r="E152" s="1" t="n">
        <v>46217</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1689-2022</t>
        </is>
      </c>
      <c r="B153" t="inlineStr">
        <is>
          <t>avverkningsanmälan</t>
        </is>
      </c>
      <c r="C153" t="inlineStr">
        <is>
          <t>Föryngringsavverkning</t>
        </is>
      </c>
      <c r="D153" s="1" t="n">
        <v>44574</v>
      </c>
      <c r="E153" s="1" t="n">
        <v>46217</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s="2" t="inlineStr"/>
    </row>
    <row r="154" ht="15" customHeight="1">
      <c r="A154" t="inlineStr">
        <is>
          <t>A 52509-2021</t>
        </is>
      </c>
      <c r="B154" t="inlineStr">
        <is>
          <t>avverkningsanmälan</t>
        </is>
      </c>
      <c r="C154" t="inlineStr">
        <is>
          <t>Föryngringsavverkning</t>
        </is>
      </c>
      <c r="D154" s="1" t="n">
        <v>44466</v>
      </c>
      <c r="E154" s="1" t="n">
        <v>46217</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6923-2022</t>
        </is>
      </c>
      <c r="B155" t="inlineStr">
        <is>
          <t>avverkningsanmälan</t>
        </is>
      </c>
      <c r="C155" t="inlineStr">
        <is>
          <t>Föryngringsavverkning</t>
        </is>
      </c>
      <c r="D155" s="1" t="n">
        <v>44603</v>
      </c>
      <c r="E155" s="1" t="n">
        <v>46217</v>
      </c>
      <c r="F155" t="inlineStr">
        <is>
          <t>KRONOBERGS LÄN</t>
        </is>
      </c>
      <c r="G155" t="inlineStr">
        <is>
          <t>UPPVIDINGE</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6924-2022</t>
        </is>
      </c>
      <c r="B156" t="inlineStr">
        <is>
          <t>avverkningsanmälan</t>
        </is>
      </c>
      <c r="C156" t="inlineStr">
        <is>
          <t>Föryngringsavverkning</t>
        </is>
      </c>
      <c r="D156" s="1" t="n">
        <v>44602</v>
      </c>
      <c r="E156" s="1" t="n">
        <v>46217</v>
      </c>
      <c r="F156" t="inlineStr">
        <is>
          <t>KRONOBERGS LÄN</t>
        </is>
      </c>
      <c r="G156" t="inlineStr">
        <is>
          <t>UPPVIDINGE</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40487-2021</t>
        </is>
      </c>
      <c r="B157" t="inlineStr">
        <is>
          <t>avverkningsanmälan</t>
        </is>
      </c>
      <c r="C157" t="inlineStr">
        <is>
          <t>Föryngringsavverkning</t>
        </is>
      </c>
      <c r="D157" s="1" t="n">
        <v>44420</v>
      </c>
      <c r="E157" s="1" t="n">
        <v>46217</v>
      </c>
      <c r="F157" t="inlineStr">
        <is>
          <t>KRONOBERGS LÄN</t>
        </is>
      </c>
      <c r="G157" t="inlineStr">
        <is>
          <t>UPPVIDINGE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67493-2021</t>
        </is>
      </c>
      <c r="B158" t="inlineStr">
        <is>
          <t>avverkningsanmälan</t>
        </is>
      </c>
      <c r="C158" t="inlineStr">
        <is>
          <t>Föryngringsavverkning</t>
        </is>
      </c>
      <c r="D158" s="1" t="n">
        <v>44524</v>
      </c>
      <c r="E158" s="1" t="n">
        <v>46217</v>
      </c>
      <c r="F158" t="inlineStr">
        <is>
          <t>KRONOBERGS LÄN</t>
        </is>
      </c>
      <c r="G158" t="inlineStr">
        <is>
          <t>UPPVIDINGE</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41316-2021</t>
        </is>
      </c>
      <c r="B159" t="inlineStr">
        <is>
          <t>avverkningsanmälan</t>
        </is>
      </c>
      <c r="C159" t="inlineStr">
        <is>
          <t>Föryngringsavverkning</t>
        </is>
      </c>
      <c r="D159" s="1" t="n">
        <v>44424</v>
      </c>
      <c r="E159" s="1" t="n">
        <v>46217</v>
      </c>
      <c r="F159" t="inlineStr">
        <is>
          <t>KRONOBERGS LÄN</t>
        </is>
      </c>
      <c r="G159" t="inlineStr">
        <is>
          <t>UPPVIDINGE</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23463-2022</t>
        </is>
      </c>
      <c r="B160" t="inlineStr">
        <is>
          <t>avverkningsanmälan</t>
        </is>
      </c>
      <c r="C160" t="inlineStr">
        <is>
          <t>Föryngringsavverkning</t>
        </is>
      </c>
      <c r="D160" s="1" t="n">
        <v>44721</v>
      </c>
      <c r="E160" s="1" t="n">
        <v>46217</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17851-2022</t>
        </is>
      </c>
      <c r="B161" t="inlineStr">
        <is>
          <t>avverkningsanmälan</t>
        </is>
      </c>
      <c r="C161" t="inlineStr">
        <is>
          <t>Föryngringsavverkning</t>
        </is>
      </c>
      <c r="D161" s="1" t="n">
        <v>44683</v>
      </c>
      <c r="E161" s="1" t="n">
        <v>46217</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18475-2022</t>
        </is>
      </c>
      <c r="B162" t="inlineStr">
        <is>
          <t>avverkningsanmälan</t>
        </is>
      </c>
      <c r="C162" t="inlineStr">
        <is>
          <t>Föryngringsavverkning</t>
        </is>
      </c>
      <c r="D162" s="1" t="n">
        <v>44686</v>
      </c>
      <c r="E162" s="1" t="n">
        <v>46217</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s="2" t="inlineStr"/>
    </row>
    <row r="163" ht="15" customHeight="1">
      <c r="A163" t="inlineStr">
        <is>
          <t>A 50307-2021</t>
        </is>
      </c>
      <c r="B163" t="inlineStr">
        <is>
          <t>avverkningsanmälan</t>
        </is>
      </c>
      <c r="C163" t="inlineStr">
        <is>
          <t>Föryngringsavverkning</t>
        </is>
      </c>
      <c r="D163" s="1" t="n">
        <v>44459</v>
      </c>
      <c r="E163" s="1" t="n">
        <v>46217</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41314-2021</t>
        </is>
      </c>
      <c r="B164" t="inlineStr">
        <is>
          <t>avverkningsanmälan</t>
        </is>
      </c>
      <c r="C164" t="inlineStr">
        <is>
          <t>Föryngringsavverkning</t>
        </is>
      </c>
      <c r="D164" s="1" t="n">
        <v>44424</v>
      </c>
      <c r="E164" s="1" t="n">
        <v>46217</v>
      </c>
      <c r="F164" t="inlineStr">
        <is>
          <t>KRONOBERGS LÄN</t>
        </is>
      </c>
      <c r="G164" t="inlineStr">
        <is>
          <t>UPPVIDINGE</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25199-2022</t>
        </is>
      </c>
      <c r="B165" t="inlineStr">
        <is>
          <t>avverkningsanmälan</t>
        </is>
      </c>
      <c r="C165" t="inlineStr">
        <is>
          <t>Föryngringsavverkning</t>
        </is>
      </c>
      <c r="D165" s="1" t="n">
        <v>44729</v>
      </c>
      <c r="E165" s="1" t="n">
        <v>46217</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6926-2022</t>
        </is>
      </c>
      <c r="B166" t="inlineStr">
        <is>
          <t>avverkningsanmälan</t>
        </is>
      </c>
      <c r="C166" t="inlineStr">
        <is>
          <t>Föryngringsavverkning</t>
        </is>
      </c>
      <c r="D166" s="1" t="n">
        <v>44602</v>
      </c>
      <c r="E166" s="1" t="n">
        <v>46217</v>
      </c>
      <c r="F166" t="inlineStr">
        <is>
          <t>KRONOBERGS LÄN</t>
        </is>
      </c>
      <c r="G166" t="inlineStr">
        <is>
          <t>UPPVIDINGE</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21250-2022</t>
        </is>
      </c>
      <c r="B167" t="inlineStr">
        <is>
          <t>avverkningsanmälan</t>
        </is>
      </c>
      <c r="C167" t="inlineStr">
        <is>
          <t>Föryngringsavverkning</t>
        </is>
      </c>
      <c r="D167" s="1" t="n">
        <v>44705</v>
      </c>
      <c r="E167" s="1" t="n">
        <v>46217</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36854-2021</t>
        </is>
      </c>
      <c r="B168" t="inlineStr">
        <is>
          <t>avverkningsanmälan</t>
        </is>
      </c>
      <c r="C168" t="inlineStr">
        <is>
          <t>Avverkning för att bevara och utveckla /försöksver</t>
        </is>
      </c>
      <c r="D168" s="1" t="n">
        <v>44393</v>
      </c>
      <c r="E168" s="1" t="n">
        <v>46217</v>
      </c>
      <c r="F168" t="inlineStr">
        <is>
          <t>KRONOBERGS LÄN</t>
        </is>
      </c>
      <c r="G168" t="inlineStr">
        <is>
          <t>UPPVIDINGE</t>
        </is>
      </c>
      <c r="H168" t="inlineStr">
        <is>
          <t>Sveaskog</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4693-2022</t>
        </is>
      </c>
      <c r="B169" t="inlineStr">
        <is>
          <t>avverkningsanmälan</t>
        </is>
      </c>
      <c r="C169" t="inlineStr">
        <is>
          <t>Föryngringsavverkning</t>
        </is>
      </c>
      <c r="D169" s="1" t="n">
        <v>44592</v>
      </c>
      <c r="E169" s="1" t="n">
        <v>46217</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6611-2024</t>
        </is>
      </c>
      <c r="B170" t="inlineStr">
        <is>
          <t>avverkningsanmälan</t>
        </is>
      </c>
      <c r="C170" t="inlineStr">
        <is>
          <t>Föryngringsavverkning</t>
        </is>
      </c>
      <c r="D170" s="1" t="n">
        <v>45341</v>
      </c>
      <c r="E170" s="1" t="n">
        <v>46217</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18309-2023</t>
        </is>
      </c>
      <c r="B171" t="inlineStr">
        <is>
          <t>avverkningsanmälan</t>
        </is>
      </c>
      <c r="C171" t="inlineStr">
        <is>
          <t>Föryngringsavverkning</t>
        </is>
      </c>
      <c r="D171" s="1" t="n">
        <v>45041</v>
      </c>
      <c r="E171" s="1" t="n">
        <v>46217</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18310-2023</t>
        </is>
      </c>
      <c r="B172" t="inlineStr">
        <is>
          <t>avverkningsanmälan</t>
        </is>
      </c>
      <c r="C172" t="inlineStr">
        <is>
          <t>Föryngringsavverkning</t>
        </is>
      </c>
      <c r="D172" s="1" t="n">
        <v>45041</v>
      </c>
      <c r="E172" s="1" t="n">
        <v>46217</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6106-2025</t>
        </is>
      </c>
      <c r="B173" t="inlineStr">
        <is>
          <t>avverkningsanmälan</t>
        </is>
      </c>
      <c r="C173" t="inlineStr">
        <is>
          <t>Föryngringsavverkning</t>
        </is>
      </c>
      <c r="D173" s="1" t="n">
        <v>45697</v>
      </c>
      <c r="E173" s="1" t="n">
        <v>46217</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6323-2024</t>
        </is>
      </c>
      <c r="B174" t="inlineStr">
        <is>
          <t>avverkningsanmälan</t>
        </is>
      </c>
      <c r="C174" t="inlineStr">
        <is>
          <t>Föryngringsavverkning</t>
        </is>
      </c>
      <c r="D174" s="1" t="n">
        <v>45338</v>
      </c>
      <c r="E174" s="1" t="n">
        <v>46217</v>
      </c>
      <c r="F174" t="inlineStr">
        <is>
          <t>KRONOBERGS LÄN</t>
        </is>
      </c>
      <c r="G174" t="inlineStr">
        <is>
          <t>UPPVIDINGE</t>
        </is>
      </c>
      <c r="H174" t="inlineStr">
        <is>
          <t>Sveaskog</t>
        </is>
      </c>
      <c r="I174" t="n">
        <v>4.5</v>
      </c>
      <c r="J174" t="n">
        <v>0</v>
      </c>
      <c r="K174" t="n">
        <v>0</v>
      </c>
      <c r="L174" t="n">
        <v>0</v>
      </c>
      <c r="M174" t="n">
        <v>0</v>
      </c>
      <c r="N174" t="n">
        <v>0</v>
      </c>
      <c r="O174" t="n">
        <v>0</v>
      </c>
      <c r="P174" t="n">
        <v>0</v>
      </c>
      <c r="Q174" t="n">
        <v>0</v>
      </c>
      <c r="R174" t="n">
        <v>0</v>
      </c>
      <c r="S174" t="n">
        <v>0</v>
      </c>
      <c r="T174" t="n">
        <v>0</v>
      </c>
      <c r="U174" s="2" t="inlineStr"/>
    </row>
    <row r="175" ht="15" customHeight="1">
      <c r="A175" t="inlineStr">
        <is>
          <t>A 6330-2024</t>
        </is>
      </c>
      <c r="B175" t="inlineStr">
        <is>
          <t>avverkningsanmälan</t>
        </is>
      </c>
      <c r="C175" t="inlineStr">
        <is>
          <t>Föryngringsavverkning</t>
        </is>
      </c>
      <c r="D175" s="1" t="n">
        <v>45338</v>
      </c>
      <c r="E175" s="1" t="n">
        <v>46217</v>
      </c>
      <c r="F175" t="inlineStr">
        <is>
          <t>KRONOBERGS LÄN</t>
        </is>
      </c>
      <c r="G175" t="inlineStr">
        <is>
          <t>UPPVIDINGE</t>
        </is>
      </c>
      <c r="H175" t="inlineStr">
        <is>
          <t>Sveaskog</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6333-2024</t>
        </is>
      </c>
      <c r="B176" t="inlineStr">
        <is>
          <t>avverkningsanmälan</t>
        </is>
      </c>
      <c r="C176" t="inlineStr">
        <is>
          <t>Föryngringsavverkning</t>
        </is>
      </c>
      <c r="D176" s="1" t="n">
        <v>45338</v>
      </c>
      <c r="E176" s="1" t="n">
        <v>46217</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42940-2022</t>
        </is>
      </c>
      <c r="B177" t="inlineStr">
        <is>
          <t>avverkningsanmälan</t>
        </is>
      </c>
      <c r="C177" t="inlineStr">
        <is>
          <t>Föryngringsavverkning</t>
        </is>
      </c>
      <c r="D177" s="1" t="n">
        <v>44833</v>
      </c>
      <c r="E177" s="1" t="n">
        <v>46217</v>
      </c>
      <c r="F177" t="inlineStr">
        <is>
          <t>KRONOBERGS LÄN</t>
        </is>
      </c>
      <c r="G177" t="inlineStr">
        <is>
          <t>UPPVIDINGE</t>
        </is>
      </c>
      <c r="H177" t="inlineStr">
        <is>
          <t>Sveaskog</t>
        </is>
      </c>
      <c r="I177" t="n">
        <v>3.7</v>
      </c>
      <c r="J177" t="n">
        <v>0</v>
      </c>
      <c r="K177" t="n">
        <v>0</v>
      </c>
      <c r="L177" t="n">
        <v>0</v>
      </c>
      <c r="M177" t="n">
        <v>0</v>
      </c>
      <c r="N177" t="n">
        <v>0</v>
      </c>
      <c r="O177" t="n">
        <v>0</v>
      </c>
      <c r="P177" t="n">
        <v>0</v>
      </c>
      <c r="Q177" t="n">
        <v>0</v>
      </c>
      <c r="R177" t="n">
        <v>0</v>
      </c>
      <c r="S177" t="n">
        <v>0</v>
      </c>
      <c r="T177" t="n">
        <v>0</v>
      </c>
      <c r="U177" s="2" t="inlineStr"/>
    </row>
    <row r="178" ht="15" customHeight="1">
      <c r="A178" t="inlineStr">
        <is>
          <t>A 13873-2024</t>
        </is>
      </c>
      <c r="B178" t="inlineStr">
        <is>
          <t>avverkningsanmälan</t>
        </is>
      </c>
      <c r="C178" t="inlineStr">
        <is>
          <t>Föryngringsavverkning</t>
        </is>
      </c>
      <c r="D178" s="1" t="n">
        <v>45391</v>
      </c>
      <c r="E178" s="1" t="n">
        <v>46217</v>
      </c>
      <c r="F178" t="inlineStr">
        <is>
          <t>KRONOBERGS LÄN</t>
        </is>
      </c>
      <c r="G178" t="inlineStr">
        <is>
          <t>UPPVIDINGE</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26196-2023</t>
        </is>
      </c>
      <c r="B179" t="inlineStr">
        <is>
          <t>avverkningsanmälan</t>
        </is>
      </c>
      <c r="C179" t="inlineStr">
        <is>
          <t>Föryngringsavverkning</t>
        </is>
      </c>
      <c r="D179" s="1" t="n">
        <v>45091</v>
      </c>
      <c r="E179" s="1" t="n">
        <v>46217</v>
      </c>
      <c r="F179" t="inlineStr">
        <is>
          <t>KRONOBERGS LÄN</t>
        </is>
      </c>
      <c r="G179" t="inlineStr">
        <is>
          <t>UPPVIDINGE</t>
        </is>
      </c>
      <c r="H179" t="inlineStr">
        <is>
          <t>Sveaskog</t>
        </is>
      </c>
      <c r="I179" t="n">
        <v>8.800000000000001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30100-2022</t>
        </is>
      </c>
      <c r="B180" t="inlineStr">
        <is>
          <t>avverkningsanmälan</t>
        </is>
      </c>
      <c r="C180" t="inlineStr">
        <is>
          <t>Föryngringsavverkning</t>
        </is>
      </c>
      <c r="D180" s="1" t="n">
        <v>44757</v>
      </c>
      <c r="E180" s="1" t="n">
        <v>46217</v>
      </c>
      <c r="F180" t="inlineStr">
        <is>
          <t>KRONOBERGS LÄN</t>
        </is>
      </c>
      <c r="G180" t="inlineStr">
        <is>
          <t>UPPVIDINGE</t>
        </is>
      </c>
      <c r="H180" t="inlineStr">
        <is>
          <t>Sveaskog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30107-2022</t>
        </is>
      </c>
      <c r="B181" t="inlineStr">
        <is>
          <t>avverkningsanmälan</t>
        </is>
      </c>
      <c r="C181" t="inlineStr">
        <is>
          <t>Föryngringsavverkning</t>
        </is>
      </c>
      <c r="D181" s="1" t="n">
        <v>44757</v>
      </c>
      <c r="E181" s="1" t="n">
        <v>46217</v>
      </c>
      <c r="F181" t="inlineStr">
        <is>
          <t>KRONOBERGS LÄN</t>
        </is>
      </c>
      <c r="G181" t="inlineStr">
        <is>
          <t>UPPVIDINGE</t>
        </is>
      </c>
      <c r="H181" t="inlineStr">
        <is>
          <t>Sveaskog</t>
        </is>
      </c>
      <c r="I181" t="n">
        <v>3.3</v>
      </c>
      <c r="J181" t="n">
        <v>0</v>
      </c>
      <c r="K181" t="n">
        <v>0</v>
      </c>
      <c r="L181" t="n">
        <v>0</v>
      </c>
      <c r="M181" t="n">
        <v>0</v>
      </c>
      <c r="N181" t="n">
        <v>0</v>
      </c>
      <c r="O181" t="n">
        <v>0</v>
      </c>
      <c r="P181" t="n">
        <v>0</v>
      </c>
      <c r="Q181" t="n">
        <v>0</v>
      </c>
      <c r="R181" t="n">
        <v>0</v>
      </c>
      <c r="S181" t="n">
        <v>0</v>
      </c>
      <c r="T181" t="n">
        <v>0</v>
      </c>
      <c r="U181" s="2" t="inlineStr"/>
    </row>
    <row r="182" ht="15" customHeight="1">
      <c r="A182" t="inlineStr">
        <is>
          <t>A 27114-2024</t>
        </is>
      </c>
      <c r="B182" t="inlineStr">
        <is>
          <t>avverkningsanmälan</t>
        </is>
      </c>
      <c r="C182" t="inlineStr">
        <is>
          <t>Föryngringsavverkning</t>
        </is>
      </c>
      <c r="D182" s="1" t="n">
        <v>45471</v>
      </c>
      <c r="E182" s="1" t="n">
        <v>46217</v>
      </c>
      <c r="F182" t="inlineStr">
        <is>
          <t>KRONOBERGS LÄN</t>
        </is>
      </c>
      <c r="G182" t="inlineStr">
        <is>
          <t>UPPVIDINGE</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13579-2024</t>
        </is>
      </c>
      <c r="B183" t="inlineStr">
        <is>
          <t>avverkningsanmälan</t>
        </is>
      </c>
      <c r="C183" t="inlineStr">
        <is>
          <t>Föryngringsavverkning</t>
        </is>
      </c>
      <c r="D183" s="1" t="n">
        <v>45389</v>
      </c>
      <c r="E183" s="1" t="n">
        <v>46217</v>
      </c>
      <c r="F183" t="inlineStr">
        <is>
          <t>KRONOBERGS LÄN</t>
        </is>
      </c>
      <c r="G183" t="inlineStr">
        <is>
          <t>UPPVIDINGE</t>
        </is>
      </c>
      <c r="I183" t="n">
        <v>4.4</v>
      </c>
      <c r="J183" t="n">
        <v>0</v>
      </c>
      <c r="K183" t="n">
        <v>0</v>
      </c>
      <c r="L183" t="n">
        <v>0</v>
      </c>
      <c r="M183" t="n">
        <v>0</v>
      </c>
      <c r="N183" t="n">
        <v>0</v>
      </c>
      <c r="O183" t="n">
        <v>0</v>
      </c>
      <c r="P183" t="n">
        <v>0</v>
      </c>
      <c r="Q183" t="n">
        <v>0</v>
      </c>
      <c r="R183" t="n">
        <v>0</v>
      </c>
      <c r="S183" t="n">
        <v>0</v>
      </c>
      <c r="T183" t="n">
        <v>0</v>
      </c>
      <c r="U183" s="2" t="inlineStr"/>
    </row>
    <row r="184" ht="15" customHeight="1">
      <c r="A184" t="inlineStr">
        <is>
          <t>A 21275-2024</t>
        </is>
      </c>
      <c r="B184" t="inlineStr">
        <is>
          <t>avverkningsanmälan</t>
        </is>
      </c>
      <c r="C184" t="inlineStr">
        <is>
          <t>Föryngringsavverkning</t>
        </is>
      </c>
      <c r="D184" s="1" t="n">
        <v>45440</v>
      </c>
      <c r="E184" s="1" t="n">
        <v>46217</v>
      </c>
      <c r="F184" t="inlineStr">
        <is>
          <t>KRONOBERGS LÄN</t>
        </is>
      </c>
      <c r="G184" t="inlineStr">
        <is>
          <t>UPPVIDINGE</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34543-2023</t>
        </is>
      </c>
      <c r="B185" t="inlineStr">
        <is>
          <t>avverkningsanmälan</t>
        </is>
      </c>
      <c r="C185" t="inlineStr">
        <is>
          <t>Föryngringsavverkning</t>
        </is>
      </c>
      <c r="D185" s="1" t="n">
        <v>45140</v>
      </c>
      <c r="E185" s="1" t="n">
        <v>46217</v>
      </c>
      <c r="F185" t="inlineStr">
        <is>
          <t>KRONOBERGS LÄN</t>
        </is>
      </c>
      <c r="G185" t="inlineStr">
        <is>
          <t>UPPVIDINGE</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13147-2024</t>
        </is>
      </c>
      <c r="B186" t="inlineStr">
        <is>
          <t>avverkningsanmälan</t>
        </is>
      </c>
      <c r="C186" t="inlineStr">
        <is>
          <t>Föryngringsavverkning</t>
        </is>
      </c>
      <c r="D186" s="1" t="n">
        <v>45386</v>
      </c>
      <c r="E186" s="1" t="n">
        <v>46217</v>
      </c>
      <c r="F186" t="inlineStr">
        <is>
          <t>KRONOBERGS LÄN</t>
        </is>
      </c>
      <c r="G186" t="inlineStr">
        <is>
          <t>UPPVIDINGE</t>
        </is>
      </c>
      <c r="H186" t="inlineStr">
        <is>
          <t>Sveaskog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64159-2023</t>
        </is>
      </c>
      <c r="B187" t="inlineStr">
        <is>
          <t>avverkningsanmälan</t>
        </is>
      </c>
      <c r="C187" t="inlineStr">
        <is>
          <t>Föryngringsavverkning</t>
        </is>
      </c>
      <c r="D187" s="1" t="n">
        <v>45279</v>
      </c>
      <c r="E187" s="1" t="n">
        <v>46217</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44746-2023</t>
        </is>
      </c>
      <c r="B188" t="inlineStr">
        <is>
          <t>avverkningsanmälan</t>
        </is>
      </c>
      <c r="C188" t="inlineStr">
        <is>
          <t>Föryngringsavverkning</t>
        </is>
      </c>
      <c r="D188" s="1" t="n">
        <v>45190</v>
      </c>
      <c r="E188" s="1" t="n">
        <v>46217</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33949-2022</t>
        </is>
      </c>
      <c r="B189" t="inlineStr">
        <is>
          <t>avverkningsanmälan</t>
        </is>
      </c>
      <c r="C189" t="inlineStr">
        <is>
          <t>Föryngringsavverkning</t>
        </is>
      </c>
      <c r="D189" s="1" t="n">
        <v>44790</v>
      </c>
      <c r="E189" s="1" t="n">
        <v>46217</v>
      </c>
      <c r="F189" t="inlineStr">
        <is>
          <t>KRONOBERGS LÄN</t>
        </is>
      </c>
      <c r="G189" t="inlineStr">
        <is>
          <t>UPPVIDINGE</t>
        </is>
      </c>
      <c r="H189" t="inlineStr">
        <is>
          <t>Kyrkan</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34631-2023</t>
        </is>
      </c>
      <c r="B190" t="inlineStr">
        <is>
          <t>avverkningsanmälan</t>
        </is>
      </c>
      <c r="C190" t="inlineStr">
        <is>
          <t>Föryngringsavverkning</t>
        </is>
      </c>
      <c r="D190" s="1" t="n">
        <v>45140</v>
      </c>
      <c r="E190" s="1" t="n">
        <v>46217</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s="2" t="inlineStr"/>
    </row>
    <row r="191" ht="15" customHeight="1">
      <c r="A191" t="inlineStr">
        <is>
          <t>A 6325-2024</t>
        </is>
      </c>
      <c r="B191" t="inlineStr">
        <is>
          <t>avverkningsanmälan</t>
        </is>
      </c>
      <c r="C191" t="inlineStr">
        <is>
          <t>Föryngringsavverkning</t>
        </is>
      </c>
      <c r="D191" s="1" t="n">
        <v>45338</v>
      </c>
      <c r="E191" s="1" t="n">
        <v>46217</v>
      </c>
      <c r="F191" t="inlineStr">
        <is>
          <t>KRONOBERGS LÄN</t>
        </is>
      </c>
      <c r="G191" t="inlineStr">
        <is>
          <t>UPPVIDINGE</t>
        </is>
      </c>
      <c r="H191" t="inlineStr">
        <is>
          <t>Sveaskog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6329-2024</t>
        </is>
      </c>
      <c r="B192" t="inlineStr">
        <is>
          <t>avverkningsanmälan</t>
        </is>
      </c>
      <c r="C192" t="inlineStr">
        <is>
          <t>Föryngringsavverkning</t>
        </is>
      </c>
      <c r="D192" s="1" t="n">
        <v>45338</v>
      </c>
      <c r="E192" s="1" t="n">
        <v>46217</v>
      </c>
      <c r="F192" t="inlineStr">
        <is>
          <t>KRONOBERGS LÄN</t>
        </is>
      </c>
      <c r="G192" t="inlineStr">
        <is>
          <t>UPPVIDINGE</t>
        </is>
      </c>
      <c r="H192" t="inlineStr">
        <is>
          <t>Sveaskog</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36871-2023</t>
        </is>
      </c>
      <c r="B193" t="inlineStr">
        <is>
          <t>avverkningsanmälan</t>
        </is>
      </c>
      <c r="C193" t="inlineStr">
        <is>
          <t>Föryngringsavverkning</t>
        </is>
      </c>
      <c r="D193" s="1" t="n">
        <v>45154</v>
      </c>
      <c r="E193" s="1" t="n">
        <v>46217</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19211-2024</t>
        </is>
      </c>
      <c r="B194" t="inlineStr">
        <is>
          <t>avverkningsanmälan</t>
        </is>
      </c>
      <c r="C194" t="inlineStr">
        <is>
          <t>Föryngringsavverkning</t>
        </is>
      </c>
      <c r="D194" s="1" t="n">
        <v>45428</v>
      </c>
      <c r="E194" s="1" t="n">
        <v>46217</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37844-2024</t>
        </is>
      </c>
      <c r="B195" t="inlineStr">
        <is>
          <t>avverkningsanmälan</t>
        </is>
      </c>
      <c r="C195" t="inlineStr">
        <is>
          <t>Föryngringsavverkning</t>
        </is>
      </c>
      <c r="D195" s="1" t="n">
        <v>45544</v>
      </c>
      <c r="E195" s="1" t="n">
        <v>46217</v>
      </c>
      <c r="F195" t="inlineStr">
        <is>
          <t>KRONOBERGS LÄN</t>
        </is>
      </c>
      <c r="G195" t="inlineStr">
        <is>
          <t>UPPVIDINGE</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37823-2024</t>
        </is>
      </c>
      <c r="B196" t="inlineStr">
        <is>
          <t>avverkningsanmälan</t>
        </is>
      </c>
      <c r="C196" t="inlineStr">
        <is>
          <t>Föryngringsavverkning</t>
        </is>
      </c>
      <c r="D196" s="1" t="n">
        <v>45544</v>
      </c>
      <c r="E196" s="1" t="n">
        <v>46217</v>
      </c>
      <c r="F196" t="inlineStr">
        <is>
          <t>KRONOBERGS LÄN</t>
        </is>
      </c>
      <c r="G196" t="inlineStr">
        <is>
          <t>UPPVIDINGE</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19213-2024</t>
        </is>
      </c>
      <c r="B197" t="inlineStr">
        <is>
          <t>avverkningsanmälan</t>
        </is>
      </c>
      <c r="C197" t="inlineStr">
        <is>
          <t>Föryngringsavverkning</t>
        </is>
      </c>
      <c r="D197" s="1" t="n">
        <v>45428</v>
      </c>
      <c r="E197" s="1" t="n">
        <v>46217</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19214-2024</t>
        </is>
      </c>
      <c r="B198" t="inlineStr">
        <is>
          <t>avverkningsanmälan</t>
        </is>
      </c>
      <c r="C198" t="inlineStr">
        <is>
          <t>Föryngringsavverkning</t>
        </is>
      </c>
      <c r="D198" s="1" t="n">
        <v>45428</v>
      </c>
      <c r="E198" s="1" t="n">
        <v>46217</v>
      </c>
      <c r="F198" t="inlineStr">
        <is>
          <t>KRONOBERGS LÄN</t>
        </is>
      </c>
      <c r="G198" t="inlineStr">
        <is>
          <t>UPPVIDINGE</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19252-2024</t>
        </is>
      </c>
      <c r="B199" t="inlineStr">
        <is>
          <t>avverkningsanmälan</t>
        </is>
      </c>
      <c r="C199" t="inlineStr">
        <is>
          <t>Föryngringsavverkning</t>
        </is>
      </c>
      <c r="D199" s="1" t="n">
        <v>45428</v>
      </c>
      <c r="E199" s="1" t="n">
        <v>46217</v>
      </c>
      <c r="F199" t="inlineStr">
        <is>
          <t>KRONOBERGS LÄN</t>
        </is>
      </c>
      <c r="G199" t="inlineStr">
        <is>
          <t>UPPVIDINGE</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19209-2024</t>
        </is>
      </c>
      <c r="B200" t="inlineStr">
        <is>
          <t>avverkningsanmälan</t>
        </is>
      </c>
      <c r="C200" t="inlineStr">
        <is>
          <t>Föryngringsavverkning</t>
        </is>
      </c>
      <c r="D200" s="1" t="n">
        <v>45428</v>
      </c>
      <c r="E200" s="1" t="n">
        <v>46217</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6070-2024</t>
        </is>
      </c>
      <c r="B201" t="inlineStr">
        <is>
          <t>avverkningsanmälan</t>
        </is>
      </c>
      <c r="C201" t="inlineStr">
        <is>
          <t>Föryngringsavverkning</t>
        </is>
      </c>
      <c r="D201" s="1" t="n">
        <v>45336</v>
      </c>
      <c r="E201" s="1" t="n">
        <v>46217</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4712-2022</t>
        </is>
      </c>
      <c r="B202" t="inlineStr">
        <is>
          <t>avverkningsanmälan</t>
        </is>
      </c>
      <c r="C202" t="inlineStr">
        <is>
          <t>Föryngringsavverkning</t>
        </is>
      </c>
      <c r="D202" s="1" t="n">
        <v>44592</v>
      </c>
      <c r="E202" s="1" t="n">
        <v>46217</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2420-2025</t>
        </is>
      </c>
      <c r="B203" t="inlineStr">
        <is>
          <t>avverkningsanmälan</t>
        </is>
      </c>
      <c r="C203" t="inlineStr">
        <is>
          <t>Föryngringsavverkning</t>
        </is>
      </c>
      <c r="D203" s="1" t="n">
        <v>45674</v>
      </c>
      <c r="E203" s="1" t="n">
        <v>46217</v>
      </c>
      <c r="F203" t="inlineStr">
        <is>
          <t>KRONOBERGS LÄN</t>
        </is>
      </c>
      <c r="G203" t="inlineStr">
        <is>
          <t>UPPVIDINGE</t>
        </is>
      </c>
      <c r="H203" t="inlineStr">
        <is>
          <t>Sveaskog</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19584-2023</t>
        </is>
      </c>
      <c r="B204" t="inlineStr">
        <is>
          <t>avverkningsanmälan</t>
        </is>
      </c>
      <c r="C204" t="inlineStr">
        <is>
          <t>Föryngringsavverkning</t>
        </is>
      </c>
      <c r="D204" s="1" t="n">
        <v>45049</v>
      </c>
      <c r="E204" s="1" t="n">
        <v>46217</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6119-2022</t>
        </is>
      </c>
      <c r="B205" t="inlineStr">
        <is>
          <t>avverkningsanmälan</t>
        </is>
      </c>
      <c r="C205" t="inlineStr">
        <is>
          <t>Föryngringsavverkning</t>
        </is>
      </c>
      <c r="D205" s="1" t="n">
        <v>44599</v>
      </c>
      <c r="E205" s="1" t="n">
        <v>46217</v>
      </c>
      <c r="F205" t="inlineStr">
        <is>
          <t>KRONOBERGS LÄN</t>
        </is>
      </c>
      <c r="G205" t="inlineStr">
        <is>
          <t>UPPVIDINGE</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25503-2023</t>
        </is>
      </c>
      <c r="B206" t="inlineStr">
        <is>
          <t>avverkningsanmälan</t>
        </is>
      </c>
      <c r="C206" t="inlineStr">
        <is>
          <t>Föryngringsavverkning</t>
        </is>
      </c>
      <c r="D206" s="1" t="n">
        <v>45089</v>
      </c>
      <c r="E206" s="1" t="n">
        <v>46217</v>
      </c>
      <c r="F206" t="inlineStr">
        <is>
          <t>KRONOBERGS LÄN</t>
        </is>
      </c>
      <c r="G206" t="inlineStr">
        <is>
          <t>UPPVIDINGE</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28090-2024</t>
        </is>
      </c>
      <c r="B207" t="inlineStr">
        <is>
          <t>avverkningsanmälan</t>
        </is>
      </c>
      <c r="C207" t="inlineStr">
        <is>
          <t>Föryngringsavverkning</t>
        </is>
      </c>
      <c r="D207" s="1" t="n">
        <v>45476</v>
      </c>
      <c r="E207" s="1" t="n">
        <v>46217</v>
      </c>
      <c r="F207" t="inlineStr">
        <is>
          <t>KRONOBERGS LÄN</t>
        </is>
      </c>
      <c r="G207" t="inlineStr">
        <is>
          <t>UPPVIDINGE</t>
        </is>
      </c>
      <c r="I207" t="n">
        <v>4.6</v>
      </c>
      <c r="J207" t="n">
        <v>0</v>
      </c>
      <c r="K207" t="n">
        <v>0</v>
      </c>
      <c r="L207" t="n">
        <v>0</v>
      </c>
      <c r="M207" t="n">
        <v>0</v>
      </c>
      <c r="N207" t="n">
        <v>0</v>
      </c>
      <c r="O207" t="n">
        <v>0</v>
      </c>
      <c r="P207" t="n">
        <v>0</v>
      </c>
      <c r="Q207" t="n">
        <v>0</v>
      </c>
      <c r="R207" t="n">
        <v>0</v>
      </c>
      <c r="S207" t="n">
        <v>0</v>
      </c>
      <c r="T207" t="n">
        <v>0</v>
      </c>
      <c r="U207" s="2" t="inlineStr"/>
    </row>
    <row r="208" ht="15" customHeight="1">
      <c r="A208" t="inlineStr">
        <is>
          <t>A 27789-2023</t>
        </is>
      </c>
      <c r="B208" t="inlineStr">
        <is>
          <t>avverkningsanmälan</t>
        </is>
      </c>
      <c r="C208" t="inlineStr">
        <is>
          <t>Föryngringsavverkning</t>
        </is>
      </c>
      <c r="D208" s="1" t="n">
        <v>45098</v>
      </c>
      <c r="E208" s="1" t="n">
        <v>46217</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30886-2023</t>
        </is>
      </c>
      <c r="B209" t="inlineStr">
        <is>
          <t>avverkningsanmälan</t>
        </is>
      </c>
      <c r="C209" t="inlineStr">
        <is>
          <t>Föryngringsavverkning</t>
        </is>
      </c>
      <c r="D209" s="1" t="n">
        <v>45113</v>
      </c>
      <c r="E209" s="1" t="n">
        <v>46217</v>
      </c>
      <c r="F209" t="inlineStr">
        <is>
          <t>KRONOBERGS LÄN</t>
        </is>
      </c>
      <c r="G209" t="inlineStr">
        <is>
          <t>UPPVIDINGE</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51512-2024</t>
        </is>
      </c>
      <c r="B210" t="inlineStr">
        <is>
          <t>avverkningsanmälan</t>
        </is>
      </c>
      <c r="C210" t="inlineStr">
        <is>
          <t>Föryngringsavverkning</t>
        </is>
      </c>
      <c r="D210" s="1" t="n">
        <v>45604</v>
      </c>
      <c r="E210" s="1" t="n">
        <v>46217</v>
      </c>
      <c r="F210" t="inlineStr">
        <is>
          <t>KRONOBERGS LÄN</t>
        </is>
      </c>
      <c r="G210" t="inlineStr">
        <is>
          <t>UPPVIDINGE</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51513-2024</t>
        </is>
      </c>
      <c r="B211" t="inlineStr">
        <is>
          <t>avverkningsanmälan</t>
        </is>
      </c>
      <c r="C211" t="inlineStr">
        <is>
          <t>Föryngringsavverkning</t>
        </is>
      </c>
      <c r="D211" s="1" t="n">
        <v>45604</v>
      </c>
      <c r="E211" s="1" t="n">
        <v>46217</v>
      </c>
      <c r="F211" t="inlineStr">
        <is>
          <t>KRONOBERGS LÄN</t>
        </is>
      </c>
      <c r="G211" t="inlineStr">
        <is>
          <t>UPPVIDINGE</t>
        </is>
      </c>
      <c r="H211" t="inlineStr">
        <is>
          <t>Sveaskog</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14640-2023</t>
        </is>
      </c>
      <c r="B212" t="inlineStr">
        <is>
          <t>avverkningsanmälan</t>
        </is>
      </c>
      <c r="C212" t="inlineStr">
        <is>
          <t>Föryngringsavverkning</t>
        </is>
      </c>
      <c r="D212" s="1" t="n">
        <v>45013</v>
      </c>
      <c r="E212" s="1" t="n">
        <v>46217</v>
      </c>
      <c r="F212" t="inlineStr">
        <is>
          <t>KRONOBERGS LÄN</t>
        </is>
      </c>
      <c r="G212" t="inlineStr">
        <is>
          <t>UPPVIDINGE</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15526-2025</t>
        </is>
      </c>
      <c r="B213" t="inlineStr">
        <is>
          <t>avverkningsanmälan</t>
        </is>
      </c>
      <c r="C213" t="inlineStr">
        <is>
          <t>Avverkning för annat ändamål</t>
        </is>
      </c>
      <c r="D213" s="1" t="n">
        <v>45747</v>
      </c>
      <c r="E213" s="1" t="n">
        <v>46217</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39738-2024</t>
        </is>
      </c>
      <c r="B214" t="inlineStr">
        <is>
          <t>avverkningsanmälan</t>
        </is>
      </c>
      <c r="C214" t="inlineStr">
        <is>
          <t>Föryngringsavverkning</t>
        </is>
      </c>
      <c r="D214" s="1" t="n">
        <v>45552</v>
      </c>
      <c r="E214" s="1" t="n">
        <v>46217</v>
      </c>
      <c r="F214" t="inlineStr">
        <is>
          <t>KRONOBERGS LÄN</t>
        </is>
      </c>
      <c r="G214" t="inlineStr">
        <is>
          <t>UPPVIDINGE</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56038-2023</t>
        </is>
      </c>
      <c r="B215" t="inlineStr">
        <is>
          <t>avverkningsanmälan</t>
        </is>
      </c>
      <c r="C215" t="inlineStr">
        <is>
          <t>Föryngringsavverkning</t>
        </is>
      </c>
      <c r="D215" s="1" t="n">
        <v>45233</v>
      </c>
      <c r="E215" s="1" t="n">
        <v>46217</v>
      </c>
      <c r="F215" t="inlineStr">
        <is>
          <t>KRONOBERGS LÄN</t>
        </is>
      </c>
      <c r="G215" t="inlineStr">
        <is>
          <t>UPPVIDINGE</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3545-2024</t>
        </is>
      </c>
      <c r="B216" t="inlineStr">
        <is>
          <t>avverkningsanmälan</t>
        </is>
      </c>
      <c r="C216" t="inlineStr">
        <is>
          <t>Föryngringsavverkning</t>
        </is>
      </c>
      <c r="D216" s="1" t="n">
        <v>45320</v>
      </c>
      <c r="E216" s="1" t="n">
        <v>46217</v>
      </c>
      <c r="F216" t="inlineStr">
        <is>
          <t>KRONOBERGS LÄN</t>
        </is>
      </c>
      <c r="G216" t="inlineStr">
        <is>
          <t>UPPVIDINGE</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49618-2023</t>
        </is>
      </c>
      <c r="B217" t="inlineStr">
        <is>
          <t>avverkningsanmälan</t>
        </is>
      </c>
      <c r="C217" t="inlineStr">
        <is>
          <t>Föryngringsavverkning</t>
        </is>
      </c>
      <c r="D217" s="1" t="n">
        <v>45211</v>
      </c>
      <c r="E217" s="1" t="n">
        <v>46217</v>
      </c>
      <c r="F217" t="inlineStr">
        <is>
          <t>KRONOBERGS LÄN</t>
        </is>
      </c>
      <c r="G217" t="inlineStr">
        <is>
          <t>UPPVIDINGE</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2265-2023</t>
        </is>
      </c>
      <c r="B218" t="inlineStr">
        <is>
          <t>avverkningsanmälan</t>
        </is>
      </c>
      <c r="C218" t="inlineStr">
        <is>
          <t>Föryngringsavverkning</t>
        </is>
      </c>
      <c r="D218" s="1" t="n">
        <v>44942</v>
      </c>
      <c r="E218" s="1" t="n">
        <v>46217</v>
      </c>
      <c r="F218" t="inlineStr">
        <is>
          <t>KRONOBERGS LÄN</t>
        </is>
      </c>
      <c r="G218" t="inlineStr">
        <is>
          <t>UPPVIDINGE</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35496-2023</t>
        </is>
      </c>
      <c r="B219" t="inlineStr">
        <is>
          <t>avverkningsanmälan</t>
        </is>
      </c>
      <c r="C219" t="inlineStr">
        <is>
          <t>Föryngringsavverkning</t>
        </is>
      </c>
      <c r="D219" s="1" t="n">
        <v>45146</v>
      </c>
      <c r="E219" s="1" t="n">
        <v>46217</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61843-2024</t>
        </is>
      </c>
      <c r="B220" t="inlineStr">
        <is>
          <t>avverkningsanmälan</t>
        </is>
      </c>
      <c r="C220" t="inlineStr">
        <is>
          <t>Föryngringsavverkning</t>
        </is>
      </c>
      <c r="D220" s="1" t="n">
        <v>45649</v>
      </c>
      <c r="E220" s="1" t="n">
        <v>46217</v>
      </c>
      <c r="F220" t="inlineStr">
        <is>
          <t>KRONOBERGS LÄN</t>
        </is>
      </c>
      <c r="G220" t="inlineStr">
        <is>
          <t>UPPVIDINGE</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4799-2025</t>
        </is>
      </c>
      <c r="B221" t="inlineStr">
        <is>
          <t>avverkningsanmälan</t>
        </is>
      </c>
      <c r="C221" t="inlineStr">
        <is>
          <t>Föryngringsavverkning</t>
        </is>
      </c>
      <c r="D221" s="1" t="n">
        <v>45688</v>
      </c>
      <c r="E221" s="1" t="n">
        <v>46217</v>
      </c>
      <c r="F221" t="inlineStr">
        <is>
          <t>KRONOBERGS LÄN</t>
        </is>
      </c>
      <c r="G221" t="inlineStr">
        <is>
          <t>UPPVIDINGE</t>
        </is>
      </c>
      <c r="H221" t="inlineStr">
        <is>
          <t>Sveaskog</t>
        </is>
      </c>
      <c r="I221" t="n">
        <v>6.8</v>
      </c>
      <c r="J221" t="n">
        <v>0</v>
      </c>
      <c r="K221" t="n">
        <v>0</v>
      </c>
      <c r="L221" t="n">
        <v>0</v>
      </c>
      <c r="M221" t="n">
        <v>0</v>
      </c>
      <c r="N221" t="n">
        <v>0</v>
      </c>
      <c r="O221" t="n">
        <v>0</v>
      </c>
      <c r="P221" t="n">
        <v>0</v>
      </c>
      <c r="Q221" t="n">
        <v>0</v>
      </c>
      <c r="R221" t="n">
        <v>0</v>
      </c>
      <c r="S221" t="n">
        <v>0</v>
      </c>
      <c r="T221" t="n">
        <v>0</v>
      </c>
      <c r="U221" s="2" t="inlineStr"/>
    </row>
    <row r="222" ht="15" customHeight="1">
      <c r="A222" t="inlineStr">
        <is>
          <t>A 4825-2025</t>
        </is>
      </c>
      <c r="B222" t="inlineStr">
        <is>
          <t>avverkningsanmälan</t>
        </is>
      </c>
      <c r="C222" t="inlineStr">
        <is>
          <t>Föryngringsavverkning</t>
        </is>
      </c>
      <c r="D222" s="1" t="n">
        <v>45688</v>
      </c>
      <c r="E222" s="1" t="n">
        <v>46217</v>
      </c>
      <c r="F222" t="inlineStr">
        <is>
          <t>KRONOBERGS LÄN</t>
        </is>
      </c>
      <c r="G222" t="inlineStr">
        <is>
          <t>UPPVIDINGE</t>
        </is>
      </c>
      <c r="H222" t="inlineStr">
        <is>
          <t>Sveaskog</t>
        </is>
      </c>
      <c r="I222" t="n">
        <v>3.3</v>
      </c>
      <c r="J222" t="n">
        <v>0</v>
      </c>
      <c r="K222" t="n">
        <v>0</v>
      </c>
      <c r="L222" t="n">
        <v>0</v>
      </c>
      <c r="M222" t="n">
        <v>0</v>
      </c>
      <c r="N222" t="n">
        <v>0</v>
      </c>
      <c r="O222" t="n">
        <v>0</v>
      </c>
      <c r="P222" t="n">
        <v>0</v>
      </c>
      <c r="Q222" t="n">
        <v>0</v>
      </c>
      <c r="R222" t="n">
        <v>0</v>
      </c>
      <c r="S222" t="n">
        <v>0</v>
      </c>
      <c r="T222" t="n">
        <v>0</v>
      </c>
      <c r="U222" s="2" t="inlineStr"/>
    </row>
    <row r="223" ht="15" customHeight="1">
      <c r="A223" t="inlineStr">
        <is>
          <t>A 5282-2025</t>
        </is>
      </c>
      <c r="B223" t="inlineStr">
        <is>
          <t>avverkningsanmälan</t>
        </is>
      </c>
      <c r="C223" t="inlineStr">
        <is>
          <t>Föryngringsavverkning</t>
        </is>
      </c>
      <c r="D223" s="1" t="n">
        <v>45692</v>
      </c>
      <c r="E223" s="1" t="n">
        <v>46217</v>
      </c>
      <c r="F223" t="inlineStr">
        <is>
          <t>KRONOBERGS LÄN</t>
        </is>
      </c>
      <c r="G223" t="inlineStr">
        <is>
          <t>UPPVIDINGE</t>
        </is>
      </c>
      <c r="I223" t="n">
        <v>8.6</v>
      </c>
      <c r="J223" t="n">
        <v>0</v>
      </c>
      <c r="K223" t="n">
        <v>0</v>
      </c>
      <c r="L223" t="n">
        <v>0</v>
      </c>
      <c r="M223" t="n">
        <v>0</v>
      </c>
      <c r="N223" t="n">
        <v>0</v>
      </c>
      <c r="O223" t="n">
        <v>0</v>
      </c>
      <c r="P223" t="n">
        <v>0</v>
      </c>
      <c r="Q223" t="n">
        <v>0</v>
      </c>
      <c r="R223" t="n">
        <v>0</v>
      </c>
      <c r="S223" t="n">
        <v>0</v>
      </c>
      <c r="T223" t="n">
        <v>0</v>
      </c>
      <c r="U223" s="2" t="inlineStr"/>
    </row>
    <row r="224" ht="15" customHeight="1">
      <c r="A224" t="inlineStr">
        <is>
          <t>A 2332-2023</t>
        </is>
      </c>
      <c r="B224" t="inlineStr">
        <is>
          <t>avverkningsanmälan</t>
        </is>
      </c>
      <c r="C224" t="inlineStr">
        <is>
          <t>Föryngringsavverkning</t>
        </is>
      </c>
      <c r="D224" s="1" t="n">
        <v>44942</v>
      </c>
      <c r="E224" s="1" t="n">
        <v>46217</v>
      </c>
      <c r="F224" t="inlineStr">
        <is>
          <t>KRONOBERGS LÄN</t>
        </is>
      </c>
      <c r="G224" t="inlineStr">
        <is>
          <t>UPPVIDINGE</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4823-2022</t>
        </is>
      </c>
      <c r="B225" t="inlineStr">
        <is>
          <t>avverkningsanmälan</t>
        </is>
      </c>
      <c r="C225" t="inlineStr">
        <is>
          <t>Föryngringsavverkning</t>
        </is>
      </c>
      <c r="D225" s="1" t="n">
        <v>44592</v>
      </c>
      <c r="E225" s="1" t="n">
        <v>46217</v>
      </c>
      <c r="F225" t="inlineStr">
        <is>
          <t>KRONOBERGS LÄN</t>
        </is>
      </c>
      <c r="G225" t="inlineStr">
        <is>
          <t>UPPVIDINGE</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15734-2024</t>
        </is>
      </c>
      <c r="B226" t="inlineStr">
        <is>
          <t>avverkningsanmälan</t>
        </is>
      </c>
      <c r="C226" t="inlineStr">
        <is>
          <t>Föryngringsavverkning</t>
        </is>
      </c>
      <c r="D226" s="1" t="n">
        <v>45404</v>
      </c>
      <c r="E226" s="1" t="n">
        <v>46217</v>
      </c>
      <c r="F226" t="inlineStr">
        <is>
          <t>KRONOBERGS LÄN</t>
        </is>
      </c>
      <c r="G226" t="inlineStr">
        <is>
          <t>UPPVIDINGE</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59072-2024</t>
        </is>
      </c>
      <c r="B227" t="inlineStr">
        <is>
          <t>avverkningsanmälan</t>
        </is>
      </c>
      <c r="C227" t="inlineStr">
        <is>
          <t>Föryngringsavverkning</t>
        </is>
      </c>
      <c r="D227" s="1" t="n">
        <v>45636</v>
      </c>
      <c r="E227" s="1" t="n">
        <v>46217</v>
      </c>
      <c r="F227" t="inlineStr">
        <is>
          <t>KRONOBERGS LÄN</t>
        </is>
      </c>
      <c r="G227" t="inlineStr">
        <is>
          <t>UPPVIDINGE</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7139-2025</t>
        </is>
      </c>
      <c r="B228" t="inlineStr">
        <is>
          <t>avverkningsanmälan</t>
        </is>
      </c>
      <c r="C228" t="inlineStr">
        <is>
          <t>Föryngringsavverkning</t>
        </is>
      </c>
      <c r="D228" s="1" t="n">
        <v>45702</v>
      </c>
      <c r="E228" s="1" t="n">
        <v>46217</v>
      </c>
      <c r="F228" t="inlineStr">
        <is>
          <t>KRONOBERGS LÄN</t>
        </is>
      </c>
      <c r="G228" t="inlineStr">
        <is>
          <t>UPPVIDINGE</t>
        </is>
      </c>
      <c r="I228" t="n">
        <v>3</v>
      </c>
      <c r="J228" t="n">
        <v>0</v>
      </c>
      <c r="K228" t="n">
        <v>0</v>
      </c>
      <c r="L228" t="n">
        <v>0</v>
      </c>
      <c r="M228" t="n">
        <v>0</v>
      </c>
      <c r="N228" t="n">
        <v>0</v>
      </c>
      <c r="O228" t="n">
        <v>0</v>
      </c>
      <c r="P228" t="n">
        <v>0</v>
      </c>
      <c r="Q228" t="n">
        <v>0</v>
      </c>
      <c r="R228" t="n">
        <v>0</v>
      </c>
      <c r="S228" t="n">
        <v>0</v>
      </c>
      <c r="T228" t="n">
        <v>0</v>
      </c>
      <c r="U228" s="2" t="inlineStr"/>
    </row>
    <row r="229" ht="15" customHeight="1">
      <c r="A229" t="inlineStr">
        <is>
          <t>A 16643-2024</t>
        </is>
      </c>
      <c r="B229" t="inlineStr">
        <is>
          <t>avverkningsanmälan</t>
        </is>
      </c>
      <c r="C229" t="inlineStr">
        <is>
          <t>Föryngringsavverkning</t>
        </is>
      </c>
      <c r="D229" s="1" t="n">
        <v>45408</v>
      </c>
      <c r="E229" s="1" t="n">
        <v>46217</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13582-2024</t>
        </is>
      </c>
      <c r="B230" t="inlineStr">
        <is>
          <t>avverkningsanmälan</t>
        </is>
      </c>
      <c r="C230" t="inlineStr">
        <is>
          <t>Föryngringsavverkning</t>
        </is>
      </c>
      <c r="D230" s="1" t="n">
        <v>45389</v>
      </c>
      <c r="E230" s="1" t="n">
        <v>46217</v>
      </c>
      <c r="F230" t="inlineStr">
        <is>
          <t>KRONOBERGS LÄN</t>
        </is>
      </c>
      <c r="G230" t="inlineStr">
        <is>
          <t>UPPVIDINGE</t>
        </is>
      </c>
      <c r="I230" t="n">
        <v>7.5</v>
      </c>
      <c r="J230" t="n">
        <v>0</v>
      </c>
      <c r="K230" t="n">
        <v>0</v>
      </c>
      <c r="L230" t="n">
        <v>0</v>
      </c>
      <c r="M230" t="n">
        <v>0</v>
      </c>
      <c r="N230" t="n">
        <v>0</v>
      </c>
      <c r="O230" t="n">
        <v>0</v>
      </c>
      <c r="P230" t="n">
        <v>0</v>
      </c>
      <c r="Q230" t="n">
        <v>0</v>
      </c>
      <c r="R230" t="n">
        <v>0</v>
      </c>
      <c r="S230" t="n">
        <v>0</v>
      </c>
      <c r="T230" t="n">
        <v>0</v>
      </c>
      <c r="U230" s="2" t="inlineStr"/>
    </row>
    <row r="231" ht="15" customHeight="1">
      <c r="A231" t="inlineStr">
        <is>
          <t>A 52010-2023</t>
        </is>
      </c>
      <c r="B231" t="inlineStr">
        <is>
          <t>avverkningsanmälan</t>
        </is>
      </c>
      <c r="C231" t="inlineStr">
        <is>
          <t>Föryngringsavverkning</t>
        </is>
      </c>
      <c r="D231" s="1" t="n">
        <v>45223</v>
      </c>
      <c r="E231" s="1" t="n">
        <v>46217</v>
      </c>
      <c r="F231" t="inlineStr">
        <is>
          <t>KRONOBERGS LÄN</t>
        </is>
      </c>
      <c r="G231" t="inlineStr">
        <is>
          <t>UPPVIDINGE</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2853-2023</t>
        </is>
      </c>
      <c r="B232" t="inlineStr">
        <is>
          <t>avverkningsanmälan</t>
        </is>
      </c>
      <c r="C232" t="inlineStr">
        <is>
          <t>Föryngringsavverkning</t>
        </is>
      </c>
      <c r="D232" s="1" t="n">
        <v>44945</v>
      </c>
      <c r="E232" s="1" t="n">
        <v>46217</v>
      </c>
      <c r="F232" t="inlineStr">
        <is>
          <t>KRONOBERGS LÄN</t>
        </is>
      </c>
      <c r="G232" t="inlineStr">
        <is>
          <t>UPPVIDINGE</t>
        </is>
      </c>
      <c r="I232" t="n">
        <v>0.4</v>
      </c>
      <c r="J232" t="n">
        <v>0</v>
      </c>
      <c r="K232" t="n">
        <v>0</v>
      </c>
      <c r="L232" t="n">
        <v>0</v>
      </c>
      <c r="M232" t="n">
        <v>0</v>
      </c>
      <c r="N232" t="n">
        <v>0</v>
      </c>
      <c r="O232" t="n">
        <v>0</v>
      </c>
      <c r="P232" t="n">
        <v>0</v>
      </c>
      <c r="Q232" t="n">
        <v>0</v>
      </c>
      <c r="R232" t="n">
        <v>0</v>
      </c>
      <c r="S232" t="n">
        <v>0</v>
      </c>
      <c r="T232" t="n">
        <v>0</v>
      </c>
      <c r="U232" s="2" t="inlineStr"/>
    </row>
    <row r="233" ht="15" customHeight="1">
      <c r="A233" t="inlineStr">
        <is>
          <t>A 6343-2024</t>
        </is>
      </c>
      <c r="B233" t="inlineStr">
        <is>
          <t>avverkningsanmälan</t>
        </is>
      </c>
      <c r="C233" t="inlineStr">
        <is>
          <t>Föryngringsavverkning</t>
        </is>
      </c>
      <c r="D233" s="1" t="n">
        <v>45338</v>
      </c>
      <c r="E233" s="1" t="n">
        <v>46217</v>
      </c>
      <c r="F233" t="inlineStr">
        <is>
          <t>KRONOBERGS LÄN</t>
        </is>
      </c>
      <c r="G233" t="inlineStr">
        <is>
          <t>UPPVIDINGE</t>
        </is>
      </c>
      <c r="H233" t="inlineStr">
        <is>
          <t>Sveaskog</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6345-2024</t>
        </is>
      </c>
      <c r="B234" t="inlineStr">
        <is>
          <t>avverkningsanmälan</t>
        </is>
      </c>
      <c r="C234" t="inlineStr">
        <is>
          <t>Föryngringsavverkning</t>
        </is>
      </c>
      <c r="D234" s="1" t="n">
        <v>45338</v>
      </c>
      <c r="E234" s="1" t="n">
        <v>46217</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21366-2023</t>
        </is>
      </c>
      <c r="B235" t="inlineStr">
        <is>
          <t>avverkningsanmälan</t>
        </is>
      </c>
      <c r="C235" t="inlineStr">
        <is>
          <t>Föryngringsavverkning</t>
        </is>
      </c>
      <c r="D235" s="1" t="n">
        <v>45063</v>
      </c>
      <c r="E235" s="1" t="n">
        <v>46217</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19601-2025</t>
        </is>
      </c>
      <c r="B236" t="inlineStr">
        <is>
          <t>avverkningsanmälan</t>
        </is>
      </c>
      <c r="C236" t="inlineStr">
        <is>
          <t>Föryngringsavverkning</t>
        </is>
      </c>
      <c r="D236" s="1" t="n">
        <v>45770</v>
      </c>
      <c r="E236" s="1" t="n">
        <v>46217</v>
      </c>
      <c r="F236" t="inlineStr">
        <is>
          <t>KRONOBERGS LÄN</t>
        </is>
      </c>
      <c r="G236" t="inlineStr">
        <is>
          <t>UPPVIDINGE</t>
        </is>
      </c>
      <c r="I236" t="n">
        <v>10.7</v>
      </c>
      <c r="J236" t="n">
        <v>0</v>
      </c>
      <c r="K236" t="n">
        <v>0</v>
      </c>
      <c r="L236" t="n">
        <v>0</v>
      </c>
      <c r="M236" t="n">
        <v>0</v>
      </c>
      <c r="N236" t="n">
        <v>0</v>
      </c>
      <c r="O236" t="n">
        <v>0</v>
      </c>
      <c r="P236" t="n">
        <v>0</v>
      </c>
      <c r="Q236" t="n">
        <v>0</v>
      </c>
      <c r="R236" t="n">
        <v>0</v>
      </c>
      <c r="S236" t="n">
        <v>0</v>
      </c>
      <c r="T236" t="n">
        <v>0</v>
      </c>
      <c r="U236" s="2" t="inlineStr"/>
    </row>
    <row r="237" ht="15" customHeight="1">
      <c r="A237" t="inlineStr">
        <is>
          <t>A 48676-2023</t>
        </is>
      </c>
      <c r="B237" t="inlineStr">
        <is>
          <t>avverkningsanmälan</t>
        </is>
      </c>
      <c r="C237" t="inlineStr">
        <is>
          <t>Föryngringsavverkning</t>
        </is>
      </c>
      <c r="D237" s="1" t="n">
        <v>45208</v>
      </c>
      <c r="E237" s="1" t="n">
        <v>46217</v>
      </c>
      <c r="F237" t="inlineStr">
        <is>
          <t>KRONOBERGS LÄN</t>
        </is>
      </c>
      <c r="G237" t="inlineStr">
        <is>
          <t>UPPVIDINGE</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19599-2025</t>
        </is>
      </c>
      <c r="B238" t="inlineStr">
        <is>
          <t>avverkningsanmälan</t>
        </is>
      </c>
      <c r="C238" t="inlineStr">
        <is>
          <t>Föryngringsavverkning</t>
        </is>
      </c>
      <c r="D238" s="1" t="n">
        <v>45770</v>
      </c>
      <c r="E238" s="1" t="n">
        <v>46217</v>
      </c>
      <c r="F238" t="inlineStr">
        <is>
          <t>KRONOBERGS LÄN</t>
        </is>
      </c>
      <c r="G238" t="inlineStr">
        <is>
          <t>UPPVIDINGE</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9923-2023</t>
        </is>
      </c>
      <c r="B239" t="inlineStr">
        <is>
          <t>avverkningsanmälan</t>
        </is>
      </c>
      <c r="C239" t="inlineStr">
        <is>
          <t>Föryngringsavverkning</t>
        </is>
      </c>
      <c r="D239" s="1" t="n">
        <v>44985</v>
      </c>
      <c r="E239" s="1" t="n">
        <v>46217</v>
      </c>
      <c r="F239" t="inlineStr">
        <is>
          <t>KRONOBERGS LÄN</t>
        </is>
      </c>
      <c r="G239" t="inlineStr">
        <is>
          <t>UPPVIDINGE</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63722-2025</t>
        </is>
      </c>
      <c r="B240" t="inlineStr">
        <is>
          <t>avverkningsanmälan</t>
        </is>
      </c>
      <c r="C240" t="inlineStr">
        <is>
          <t>Föryngringsavverkning</t>
        </is>
      </c>
      <c r="D240" s="1" t="n">
        <v>46010</v>
      </c>
      <c r="E240" s="1" t="n">
        <v>46217</v>
      </c>
      <c r="F240" t="inlineStr">
        <is>
          <t>KRONOBERGS LÄN</t>
        </is>
      </c>
      <c r="G240" t="inlineStr">
        <is>
          <t>UPPVIDINGE</t>
        </is>
      </c>
      <c r="H240" t="inlineStr">
        <is>
          <t>Kyrkan</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25393-2026</t>
        </is>
      </c>
      <c r="B241" t="inlineStr">
        <is>
          <t>avverkningsanmälan</t>
        </is>
      </c>
      <c r="C241" t="inlineStr">
        <is>
          <t>Föryngringsavverkning</t>
        </is>
      </c>
      <c r="D241" s="1" t="n">
        <v>46176</v>
      </c>
      <c r="E241" s="1" t="n">
        <v>46217</v>
      </c>
      <c r="F241" t="inlineStr">
        <is>
          <t>KRONOBERGS LÄN</t>
        </is>
      </c>
      <c r="G241" t="inlineStr">
        <is>
          <t>UPPVIDINGE</t>
        </is>
      </c>
      <c r="I241" t="n">
        <v>2.8</v>
      </c>
      <c r="J241" t="n">
        <v>0</v>
      </c>
      <c r="K241" t="n">
        <v>0</v>
      </c>
      <c r="L241" t="n">
        <v>0</v>
      </c>
      <c r="M241" t="n">
        <v>0</v>
      </c>
      <c r="N241" t="n">
        <v>0</v>
      </c>
      <c r="O241" t="n">
        <v>0</v>
      </c>
      <c r="P241" t="n">
        <v>0</v>
      </c>
      <c r="Q241" t="n">
        <v>0</v>
      </c>
      <c r="R241" t="n">
        <v>0</v>
      </c>
      <c r="S241" t="n">
        <v>0</v>
      </c>
      <c r="T241" t="n">
        <v>0</v>
      </c>
      <c r="U241" s="2" t="inlineStr"/>
    </row>
    <row r="242" ht="15" customHeight="1">
      <c r="A242" t="inlineStr">
        <is>
          <t>A 61491-2021</t>
        </is>
      </c>
      <c r="B242" t="inlineStr">
        <is>
          <t>avverkningsanmälan</t>
        </is>
      </c>
      <c r="C242" t="inlineStr">
        <is>
          <t>Föryngringsavverkning</t>
        </is>
      </c>
      <c r="D242" s="1" t="n">
        <v>44497</v>
      </c>
      <c r="E242" s="1" t="n">
        <v>46217</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51214-2023</t>
        </is>
      </c>
      <c r="B243" t="inlineStr">
        <is>
          <t>avverkningsanmälan</t>
        </is>
      </c>
      <c r="C243" t="inlineStr">
        <is>
          <t>Föryngringsavverkning</t>
        </is>
      </c>
      <c r="D243" s="1" t="n">
        <v>45219</v>
      </c>
      <c r="E243" s="1" t="n">
        <v>46217</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63792-2023</t>
        </is>
      </c>
      <c r="B244" t="inlineStr">
        <is>
          <t>avverkningsanmälan</t>
        </is>
      </c>
      <c r="C244" t="inlineStr">
        <is>
          <t>Föryngringsavverkning</t>
        </is>
      </c>
      <c r="D244" s="1" t="n">
        <v>45278</v>
      </c>
      <c r="E244" s="1" t="n">
        <v>46217</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25428-2026</t>
        </is>
      </c>
      <c r="B245" t="inlineStr">
        <is>
          <t>avverkningsanmälan</t>
        </is>
      </c>
      <c r="C245" t="inlineStr">
        <is>
          <t>Föryngringsavverkning</t>
        </is>
      </c>
      <c r="D245" s="1" t="n">
        <v>46177</v>
      </c>
      <c r="E245" s="1" t="n">
        <v>46217</v>
      </c>
      <c r="F245" t="inlineStr">
        <is>
          <t>KRONOBERGS LÄN</t>
        </is>
      </c>
      <c r="G245" t="inlineStr">
        <is>
          <t>UPPVIDINGE</t>
        </is>
      </c>
      <c r="H245" t="inlineStr">
        <is>
          <t>Sveaskog</t>
        </is>
      </c>
      <c r="I245" t="n">
        <v>4.6</v>
      </c>
      <c r="J245" t="n">
        <v>0</v>
      </c>
      <c r="K245" t="n">
        <v>0</v>
      </c>
      <c r="L245" t="n">
        <v>0</v>
      </c>
      <c r="M245" t="n">
        <v>0</v>
      </c>
      <c r="N245" t="n">
        <v>0</v>
      </c>
      <c r="O245" t="n">
        <v>0</v>
      </c>
      <c r="P245" t="n">
        <v>0</v>
      </c>
      <c r="Q245" t="n">
        <v>0</v>
      </c>
      <c r="R245" t="n">
        <v>0</v>
      </c>
      <c r="S245" t="n">
        <v>0</v>
      </c>
      <c r="T245" t="n">
        <v>0</v>
      </c>
      <c r="U245" s="2" t="inlineStr"/>
    </row>
    <row r="246" ht="15" customHeight="1">
      <c r="A246" t="inlineStr">
        <is>
          <t>A 25431-2026</t>
        </is>
      </c>
      <c r="B246" t="inlineStr">
        <is>
          <t>avverkningsanmälan</t>
        </is>
      </c>
      <c r="C246" t="inlineStr">
        <is>
          <t>Föryngringsavverkning</t>
        </is>
      </c>
      <c r="D246" s="1" t="n">
        <v>46177</v>
      </c>
      <c r="E246" s="1" t="n">
        <v>46217</v>
      </c>
      <c r="F246" t="inlineStr">
        <is>
          <t>KRONOBERGS LÄN</t>
        </is>
      </c>
      <c r="G246" t="inlineStr">
        <is>
          <t>UPPVIDINGE</t>
        </is>
      </c>
      <c r="H246" t="inlineStr">
        <is>
          <t>Sveaskog</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25432-2026</t>
        </is>
      </c>
      <c r="B247" t="inlineStr">
        <is>
          <t>avverkningsanmälan</t>
        </is>
      </c>
      <c r="C247" t="inlineStr">
        <is>
          <t>Föryngringsavverkning</t>
        </is>
      </c>
      <c r="D247" s="1" t="n">
        <v>46177</v>
      </c>
      <c r="E247" s="1" t="n">
        <v>46217</v>
      </c>
      <c r="F247" t="inlineStr">
        <is>
          <t>KRONOBERGS LÄN</t>
        </is>
      </c>
      <c r="G247" t="inlineStr">
        <is>
          <t>UPPVIDINGE</t>
        </is>
      </c>
      <c r="H247" t="inlineStr">
        <is>
          <t>Sveaskog</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14163-2023</t>
        </is>
      </c>
      <c r="B248" t="inlineStr">
        <is>
          <t>avverkningsanmälan</t>
        </is>
      </c>
      <c r="C248" t="inlineStr">
        <is>
          <t>Föryngringsavverkning</t>
        </is>
      </c>
      <c r="D248" s="1" t="n">
        <v>45009</v>
      </c>
      <c r="E248" s="1" t="n">
        <v>46217</v>
      </c>
      <c r="F248" t="inlineStr">
        <is>
          <t>KRONOBERGS LÄN</t>
        </is>
      </c>
      <c r="G248" t="inlineStr">
        <is>
          <t>UPPVIDINGE</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62320-2022</t>
        </is>
      </c>
      <c r="B249" t="inlineStr">
        <is>
          <t>avverkningsanmälan</t>
        </is>
      </c>
      <c r="C249" t="inlineStr">
        <is>
          <t>Föryngringsavverkning</t>
        </is>
      </c>
      <c r="D249" s="1" t="n">
        <v>44923</v>
      </c>
      <c r="E249" s="1" t="n">
        <v>46217</v>
      </c>
      <c r="F249" t="inlineStr">
        <is>
          <t>KRONOBERGS LÄN</t>
        </is>
      </c>
      <c r="G249" t="inlineStr">
        <is>
          <t>UPPVIDINGE</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4727-2025</t>
        </is>
      </c>
      <c r="B250" t="inlineStr">
        <is>
          <t>avverkningsanmälan</t>
        </is>
      </c>
      <c r="C250" t="inlineStr">
        <is>
          <t>Föryngringsavverkning</t>
        </is>
      </c>
      <c r="D250" s="1" t="n">
        <v>45688</v>
      </c>
      <c r="E250" s="1" t="n">
        <v>46217</v>
      </c>
      <c r="F250" t="inlineStr">
        <is>
          <t>KRONOBERGS LÄN</t>
        </is>
      </c>
      <c r="G250" t="inlineStr">
        <is>
          <t>UPPVIDINGE</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57130-2024</t>
        </is>
      </c>
      <c r="B251" t="inlineStr">
        <is>
          <t>avverkningsanmälan</t>
        </is>
      </c>
      <c r="C251" t="inlineStr">
        <is>
          <t>Föryngringsavverkning</t>
        </is>
      </c>
      <c r="D251" s="1" t="n">
        <v>45629</v>
      </c>
      <c r="E251" s="1" t="n">
        <v>46217</v>
      </c>
      <c r="F251" t="inlineStr">
        <is>
          <t>KRONOBERGS LÄN</t>
        </is>
      </c>
      <c r="G251" t="inlineStr">
        <is>
          <t>UPPVIDINGE</t>
        </is>
      </c>
      <c r="H251" t="inlineStr">
        <is>
          <t>Sveaskog</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55977-2025</t>
        </is>
      </c>
      <c r="B252" t="inlineStr">
        <is>
          <t>avverkningsanmälan</t>
        </is>
      </c>
      <c r="C252" t="inlineStr">
        <is>
          <t>Föryngringsavverkning</t>
        </is>
      </c>
      <c r="D252" s="1" t="n">
        <v>45973</v>
      </c>
      <c r="E252" s="1" t="n">
        <v>46217</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45081-2021</t>
        </is>
      </c>
      <c r="B253" t="inlineStr">
        <is>
          <t>avverkningsanmälan</t>
        </is>
      </c>
      <c r="C253" t="inlineStr">
        <is>
          <t>Föryngringsavverkning</t>
        </is>
      </c>
      <c r="D253" s="1" t="n">
        <v>44438</v>
      </c>
      <c r="E253" s="1" t="n">
        <v>46217</v>
      </c>
      <c r="F253" t="inlineStr">
        <is>
          <t>KRONOBERGS LÄN</t>
        </is>
      </c>
      <c r="G253" t="inlineStr">
        <is>
          <t>UPPVIDINGE</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7893-2024</t>
        </is>
      </c>
      <c r="B254" t="inlineStr">
        <is>
          <t>avverkningsanmälan</t>
        </is>
      </c>
      <c r="C254" t="inlineStr">
        <is>
          <t>Föryngringsavverkning</t>
        </is>
      </c>
      <c r="D254" s="1" t="n">
        <v>45349</v>
      </c>
      <c r="E254" s="1" t="n">
        <v>46217</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58704-2022</t>
        </is>
      </c>
      <c r="B255" t="inlineStr">
        <is>
          <t>avverkningsanmälan</t>
        </is>
      </c>
      <c r="C255" t="inlineStr">
        <is>
          <t>Föryngringsavverkning</t>
        </is>
      </c>
      <c r="D255" s="1" t="n">
        <v>44902</v>
      </c>
      <c r="E255" s="1" t="n">
        <v>46217</v>
      </c>
      <c r="F255" t="inlineStr">
        <is>
          <t>KRONOBERGS LÄN</t>
        </is>
      </c>
      <c r="G255" t="inlineStr">
        <is>
          <t>UPPVIDINGE</t>
        </is>
      </c>
      <c r="I255" t="n">
        <v>2.6</v>
      </c>
      <c r="J255" t="n">
        <v>0</v>
      </c>
      <c r="K255" t="n">
        <v>0</v>
      </c>
      <c r="L255" t="n">
        <v>0</v>
      </c>
      <c r="M255" t="n">
        <v>0</v>
      </c>
      <c r="N255" t="n">
        <v>0</v>
      </c>
      <c r="O255" t="n">
        <v>0</v>
      </c>
      <c r="P255" t="n">
        <v>0</v>
      </c>
      <c r="Q255" t="n">
        <v>0</v>
      </c>
      <c r="R255" t="n">
        <v>0</v>
      </c>
      <c r="S255" t="n">
        <v>0</v>
      </c>
      <c r="T255" t="n">
        <v>0</v>
      </c>
      <c r="U255" s="2" t="inlineStr"/>
    </row>
    <row r="256" ht="15" customHeight="1">
      <c r="A256" t="inlineStr">
        <is>
          <t>A 30589-2023</t>
        </is>
      </c>
      <c r="B256" t="inlineStr">
        <is>
          <t>avverkningsanmälan</t>
        </is>
      </c>
      <c r="C256" t="inlineStr">
        <is>
          <t>Föryngringsavverkning</t>
        </is>
      </c>
      <c r="D256" s="1" t="n">
        <v>45112</v>
      </c>
      <c r="E256" s="1" t="n">
        <v>46217</v>
      </c>
      <c r="F256" t="inlineStr">
        <is>
          <t>KRONOBERGS LÄN</t>
        </is>
      </c>
      <c r="G256" t="inlineStr">
        <is>
          <t>UPPVIDINGE</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38797-2025</t>
        </is>
      </c>
      <c r="B257" t="inlineStr">
        <is>
          <t>avverkningsanmälan</t>
        </is>
      </c>
      <c r="C257" t="inlineStr">
        <is>
          <t>Föryngringsavverkning</t>
        </is>
      </c>
      <c r="D257" s="1" t="n">
        <v>45887</v>
      </c>
      <c r="E257" s="1" t="n">
        <v>46217</v>
      </c>
      <c r="F257" t="inlineStr">
        <is>
          <t>KRONOBERGS LÄN</t>
        </is>
      </c>
      <c r="G257" t="inlineStr">
        <is>
          <t>UPPVIDINGE</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63209-2023</t>
        </is>
      </c>
      <c r="B258" t="inlineStr">
        <is>
          <t>avverkningsanmälan</t>
        </is>
      </c>
      <c r="C258" t="inlineStr">
        <is>
          <t>Föryngringsavverkning</t>
        </is>
      </c>
      <c r="D258" s="1" t="n">
        <v>45273</v>
      </c>
      <c r="E258" s="1" t="n">
        <v>46217</v>
      </c>
      <c r="F258" t="inlineStr">
        <is>
          <t>KRONOBERGS LÄN</t>
        </is>
      </c>
      <c r="G258" t="inlineStr">
        <is>
          <t>UPPVIDINGE</t>
        </is>
      </c>
      <c r="I258" t="n">
        <v>5.5</v>
      </c>
      <c r="J258" t="n">
        <v>0</v>
      </c>
      <c r="K258" t="n">
        <v>0</v>
      </c>
      <c r="L258" t="n">
        <v>0</v>
      </c>
      <c r="M258" t="n">
        <v>0</v>
      </c>
      <c r="N258" t="n">
        <v>0</v>
      </c>
      <c r="O258" t="n">
        <v>0</v>
      </c>
      <c r="P258" t="n">
        <v>0</v>
      </c>
      <c r="Q258" t="n">
        <v>0</v>
      </c>
      <c r="R258" t="n">
        <v>0</v>
      </c>
      <c r="S258" t="n">
        <v>0</v>
      </c>
      <c r="T258" t="n">
        <v>0</v>
      </c>
      <c r="U258" s="2" t="inlineStr"/>
    </row>
    <row r="259" ht="15" customHeight="1">
      <c r="A259" t="inlineStr">
        <is>
          <t>A 4230-2025</t>
        </is>
      </c>
      <c r="B259" t="inlineStr">
        <is>
          <t>avverkningsanmälan</t>
        </is>
      </c>
      <c r="C259" t="inlineStr">
        <is>
          <t>Föryngringsavverkning</t>
        </is>
      </c>
      <c r="D259" s="1" t="n">
        <v>45685</v>
      </c>
      <c r="E259" s="1" t="n">
        <v>46217</v>
      </c>
      <c r="F259" t="inlineStr">
        <is>
          <t>KRONOBERGS LÄN</t>
        </is>
      </c>
      <c r="G259" t="inlineStr">
        <is>
          <t>UPPVIDINGE</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13580-2024</t>
        </is>
      </c>
      <c r="B260" t="inlineStr">
        <is>
          <t>avverkningsanmälan</t>
        </is>
      </c>
      <c r="C260" t="inlineStr">
        <is>
          <t>Föryngringsavverkning</t>
        </is>
      </c>
      <c r="D260" s="1" t="n">
        <v>45389</v>
      </c>
      <c r="E260" s="1" t="n">
        <v>46217</v>
      </c>
      <c r="F260" t="inlineStr">
        <is>
          <t>KRONOBERGS LÄN</t>
        </is>
      </c>
      <c r="G260" t="inlineStr">
        <is>
          <t>UPPVIDINGE</t>
        </is>
      </c>
      <c r="I260" t="n">
        <v>6</v>
      </c>
      <c r="J260" t="n">
        <v>0</v>
      </c>
      <c r="K260" t="n">
        <v>0</v>
      </c>
      <c r="L260" t="n">
        <v>0</v>
      </c>
      <c r="M260" t="n">
        <v>0</v>
      </c>
      <c r="N260" t="n">
        <v>0</v>
      </c>
      <c r="O260" t="n">
        <v>0</v>
      </c>
      <c r="P260" t="n">
        <v>0</v>
      </c>
      <c r="Q260" t="n">
        <v>0</v>
      </c>
      <c r="R260" t="n">
        <v>0</v>
      </c>
      <c r="S260" t="n">
        <v>0</v>
      </c>
      <c r="T260" t="n">
        <v>0</v>
      </c>
      <c r="U260" s="2" t="inlineStr"/>
    </row>
    <row r="261" ht="15" customHeight="1">
      <c r="A261" t="inlineStr">
        <is>
          <t>A 60041-2024</t>
        </is>
      </c>
      <c r="B261" t="inlineStr">
        <is>
          <t>avverkningsanmälan</t>
        </is>
      </c>
      <c r="C261" t="inlineStr">
        <is>
          <t>Föryngringsavverkning</t>
        </is>
      </c>
      <c r="D261" s="1" t="n">
        <v>45642</v>
      </c>
      <c r="E261" s="1" t="n">
        <v>46217</v>
      </c>
      <c r="F261" t="inlineStr">
        <is>
          <t>KRONOBERGS LÄN</t>
        </is>
      </c>
      <c r="G261" t="inlineStr">
        <is>
          <t>UPPVIDINGE</t>
        </is>
      </c>
      <c r="H261" t="inlineStr">
        <is>
          <t>Sveaskog</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54355-2021</t>
        </is>
      </c>
      <c r="B262" t="inlineStr">
        <is>
          <t>avverkningsanmälan</t>
        </is>
      </c>
      <c r="C262" t="inlineStr">
        <is>
          <t>Föryngringsavverkning</t>
        </is>
      </c>
      <c r="D262" s="1" t="n">
        <v>44470</v>
      </c>
      <c r="E262" s="1" t="n">
        <v>46217</v>
      </c>
      <c r="F262" t="inlineStr">
        <is>
          <t>KRONOBERGS LÄN</t>
        </is>
      </c>
      <c r="G262" t="inlineStr">
        <is>
          <t>UPPVIDINGE</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26825-2023</t>
        </is>
      </c>
      <c r="B263" t="inlineStr">
        <is>
          <t>avverkningsanmälan</t>
        </is>
      </c>
      <c r="C263" t="inlineStr">
        <is>
          <t>Föryngringsavverkning</t>
        </is>
      </c>
      <c r="D263" s="1" t="n">
        <v>45093</v>
      </c>
      <c r="E263" s="1" t="n">
        <v>46217</v>
      </c>
      <c r="F263" t="inlineStr">
        <is>
          <t>KRONOBERGS LÄN</t>
        </is>
      </c>
      <c r="G263" t="inlineStr">
        <is>
          <t>UPPVIDINGE</t>
        </is>
      </c>
      <c r="I263" t="n">
        <v>2.9</v>
      </c>
      <c r="J263" t="n">
        <v>0</v>
      </c>
      <c r="K263" t="n">
        <v>0</v>
      </c>
      <c r="L263" t="n">
        <v>0</v>
      </c>
      <c r="M263" t="n">
        <v>0</v>
      </c>
      <c r="N263" t="n">
        <v>0</v>
      </c>
      <c r="O263" t="n">
        <v>0</v>
      </c>
      <c r="P263" t="n">
        <v>0</v>
      </c>
      <c r="Q263" t="n">
        <v>0</v>
      </c>
      <c r="R263" t="n">
        <v>0</v>
      </c>
      <c r="S263" t="n">
        <v>0</v>
      </c>
      <c r="T263" t="n">
        <v>0</v>
      </c>
      <c r="U263" s="2" t="inlineStr"/>
    </row>
    <row r="264" ht="15" customHeight="1">
      <c r="A264" t="inlineStr">
        <is>
          <t>A 25806-2025</t>
        </is>
      </c>
      <c r="B264" t="inlineStr">
        <is>
          <t>avverkningsanmälan</t>
        </is>
      </c>
      <c r="C264" t="inlineStr">
        <is>
          <t>Föryngringsavverkning</t>
        </is>
      </c>
      <c r="D264" s="1" t="n">
        <v>45804</v>
      </c>
      <c r="E264" s="1" t="n">
        <v>46217</v>
      </c>
      <c r="F264" t="inlineStr">
        <is>
          <t>KRONOBERGS LÄN</t>
        </is>
      </c>
      <c r="G264" t="inlineStr">
        <is>
          <t>UPPVIDINGE</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19800-2026</t>
        </is>
      </c>
      <c r="B265" t="inlineStr">
        <is>
          <t>avverkningsanmälan</t>
        </is>
      </c>
      <c r="C265" t="inlineStr">
        <is>
          <t>Föryngringsavverkning</t>
        </is>
      </c>
      <c r="D265" s="1" t="n">
        <v>46135</v>
      </c>
      <c r="E265" s="1" t="n">
        <v>46217</v>
      </c>
      <c r="F265" t="inlineStr">
        <is>
          <t>KRONOBERGS LÄN</t>
        </is>
      </c>
      <c r="G265" t="inlineStr">
        <is>
          <t>UPPVIDINGE</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37397-2025</t>
        </is>
      </c>
      <c r="B266" t="inlineStr">
        <is>
          <t>avverkningsanmälan</t>
        </is>
      </c>
      <c r="C266" t="inlineStr">
        <is>
          <t>Föryngringsavverkning</t>
        </is>
      </c>
      <c r="D266" s="1" t="n">
        <v>45877</v>
      </c>
      <c r="E266" s="1" t="n">
        <v>46217</v>
      </c>
      <c r="F266" t="inlineStr">
        <is>
          <t>KRONOBERGS LÄN</t>
        </is>
      </c>
      <c r="G266" t="inlineStr">
        <is>
          <t>UPPVIDINGE</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40152-2025</t>
        </is>
      </c>
      <c r="B267" t="inlineStr">
        <is>
          <t>avverkningsanmälan</t>
        </is>
      </c>
      <c r="C267" t="inlineStr">
        <is>
          <t>Föryngringsavverkning</t>
        </is>
      </c>
      <c r="D267" s="1" t="n">
        <v>45894</v>
      </c>
      <c r="E267" s="1" t="n">
        <v>46217</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25430-2026</t>
        </is>
      </c>
      <c r="B268" t="inlineStr">
        <is>
          <t>avverkningsanmälan</t>
        </is>
      </c>
      <c r="C268" t="inlineStr">
        <is>
          <t>Föryngringsavverkning</t>
        </is>
      </c>
      <c r="D268" s="1" t="n">
        <v>46177</v>
      </c>
      <c r="E268" s="1" t="n">
        <v>46217</v>
      </c>
      <c r="F268" t="inlineStr">
        <is>
          <t>KRONOBERGS LÄN</t>
        </is>
      </c>
      <c r="G268" t="inlineStr">
        <is>
          <t>UPPVIDINGE</t>
        </is>
      </c>
      <c r="H268" t="inlineStr">
        <is>
          <t>Sveaskog</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25370-2026</t>
        </is>
      </c>
      <c r="B269" t="inlineStr">
        <is>
          <t>avverkningsanmälan</t>
        </is>
      </c>
      <c r="C269" t="inlineStr">
        <is>
          <t>Föryngringsavverkning</t>
        </is>
      </c>
      <c r="D269" s="1" t="n">
        <v>46176</v>
      </c>
      <c r="E269" s="1" t="n">
        <v>46217</v>
      </c>
      <c r="F269" t="inlineStr">
        <is>
          <t>KRONOBERGS LÄN</t>
        </is>
      </c>
      <c r="G269" t="inlineStr">
        <is>
          <t>UPPVIDINGE</t>
        </is>
      </c>
      <c r="I269" t="n">
        <v>3.8</v>
      </c>
      <c r="J269" t="n">
        <v>0</v>
      </c>
      <c r="K269" t="n">
        <v>0</v>
      </c>
      <c r="L269" t="n">
        <v>0</v>
      </c>
      <c r="M269" t="n">
        <v>0</v>
      </c>
      <c r="N269" t="n">
        <v>0</v>
      </c>
      <c r="O269" t="n">
        <v>0</v>
      </c>
      <c r="P269" t="n">
        <v>0</v>
      </c>
      <c r="Q269" t="n">
        <v>0</v>
      </c>
      <c r="R269" t="n">
        <v>0</v>
      </c>
      <c r="S269" t="n">
        <v>0</v>
      </c>
      <c r="T269" t="n">
        <v>0</v>
      </c>
      <c r="U269" s="2" t="inlineStr"/>
    </row>
    <row r="270" ht="15" customHeight="1">
      <c r="A270" t="inlineStr">
        <is>
          <t>A 3370-2024</t>
        </is>
      </c>
      <c r="B270" t="inlineStr">
        <is>
          <t>avverkningsanmälan</t>
        </is>
      </c>
      <c r="C270" t="inlineStr">
        <is>
          <t>Avverkning för annat ändamål</t>
        </is>
      </c>
      <c r="D270" s="1" t="n">
        <v>45317</v>
      </c>
      <c r="E270" s="1" t="n">
        <v>46217</v>
      </c>
      <c r="F270" t="inlineStr">
        <is>
          <t>KRONOBERGS LÄN</t>
        </is>
      </c>
      <c r="G270" t="inlineStr">
        <is>
          <t>UPPVIDINGE</t>
        </is>
      </c>
      <c r="H270" t="inlineStr">
        <is>
          <t>Sveaskog</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65115-2023</t>
        </is>
      </c>
      <c r="B271" t="inlineStr">
        <is>
          <t>avverkningsanmälan</t>
        </is>
      </c>
      <c r="C271" t="inlineStr">
        <is>
          <t>Föryngringsavverkning</t>
        </is>
      </c>
      <c r="D271" s="1" t="n">
        <v>45288</v>
      </c>
      <c r="E271" s="1" t="n">
        <v>46217</v>
      </c>
      <c r="F271" t="inlineStr">
        <is>
          <t>KRONOBERGS LÄN</t>
        </is>
      </c>
      <c r="G271" t="inlineStr">
        <is>
          <t>UPPVIDINGE</t>
        </is>
      </c>
      <c r="H271" t="inlineStr">
        <is>
          <t>Sveaskog</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13088-2025</t>
        </is>
      </c>
      <c r="B272" t="inlineStr">
        <is>
          <t>avverkningsanmälan</t>
        </is>
      </c>
      <c r="C272" t="inlineStr">
        <is>
          <t>Föryngringsavverkning</t>
        </is>
      </c>
      <c r="D272" s="1" t="n">
        <v>45734</v>
      </c>
      <c r="E272" s="1" t="n">
        <v>46217</v>
      </c>
      <c r="F272" t="inlineStr">
        <is>
          <t>KRONOBERGS LÄN</t>
        </is>
      </c>
      <c r="G272" t="inlineStr">
        <is>
          <t>UPPVIDINGE</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9676-2023</t>
        </is>
      </c>
      <c r="B273" t="inlineStr">
        <is>
          <t>avverkningsanmälan</t>
        </is>
      </c>
      <c r="C273" t="inlineStr">
        <is>
          <t>Föryngringsavverkning</t>
        </is>
      </c>
      <c r="D273" s="1" t="n">
        <v>44984</v>
      </c>
      <c r="E273" s="1" t="n">
        <v>46217</v>
      </c>
      <c r="F273" t="inlineStr">
        <is>
          <t>KRONOBERGS LÄN</t>
        </is>
      </c>
      <c r="G273" t="inlineStr">
        <is>
          <t>UPPVIDINGE</t>
        </is>
      </c>
      <c r="I273" t="n">
        <v>4.8</v>
      </c>
      <c r="J273" t="n">
        <v>0</v>
      </c>
      <c r="K273" t="n">
        <v>0</v>
      </c>
      <c r="L273" t="n">
        <v>0</v>
      </c>
      <c r="M273" t="n">
        <v>0</v>
      </c>
      <c r="N273" t="n">
        <v>0</v>
      </c>
      <c r="O273" t="n">
        <v>0</v>
      </c>
      <c r="P273" t="n">
        <v>0</v>
      </c>
      <c r="Q273" t="n">
        <v>0</v>
      </c>
      <c r="R273" t="n">
        <v>0</v>
      </c>
      <c r="S273" t="n">
        <v>0</v>
      </c>
      <c r="T273" t="n">
        <v>0</v>
      </c>
      <c r="U273" s="2" t="inlineStr"/>
    </row>
    <row r="274" ht="15" customHeight="1">
      <c r="A274" t="inlineStr">
        <is>
          <t>A 9715-2023</t>
        </is>
      </c>
      <c r="B274" t="inlineStr">
        <is>
          <t>avverkningsanmälan</t>
        </is>
      </c>
      <c r="C274" t="inlineStr">
        <is>
          <t>Föryngringsavverkning</t>
        </is>
      </c>
      <c r="D274" s="1" t="n">
        <v>44984</v>
      </c>
      <c r="E274" s="1" t="n">
        <v>46217</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29331-2025</t>
        </is>
      </c>
      <c r="B275" t="inlineStr">
        <is>
          <t>avverkningsanmälan</t>
        </is>
      </c>
      <c r="C275" t="inlineStr">
        <is>
          <t>Föryngringsavverkning</t>
        </is>
      </c>
      <c r="D275" s="1" t="n">
        <v>45824</v>
      </c>
      <c r="E275" s="1" t="n">
        <v>46217</v>
      </c>
      <c r="F275" t="inlineStr">
        <is>
          <t>KRONOBERGS LÄN</t>
        </is>
      </c>
      <c r="G275" t="inlineStr">
        <is>
          <t>UPPVIDINGE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40953-2025</t>
        </is>
      </c>
      <c r="B276" t="inlineStr">
        <is>
          <t>avverkningsanmälan</t>
        </is>
      </c>
      <c r="C276" t="inlineStr">
        <is>
          <t>Föryngringsavverkning</t>
        </is>
      </c>
      <c r="D276" s="1" t="n">
        <v>45897</v>
      </c>
      <c r="E276" s="1" t="n">
        <v>46217</v>
      </c>
      <c r="F276" t="inlineStr">
        <is>
          <t>KRONOBERGS LÄN</t>
        </is>
      </c>
      <c r="G276" t="inlineStr">
        <is>
          <t>UPPVIDINGE</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7500-2023</t>
        </is>
      </c>
      <c r="B277" t="inlineStr">
        <is>
          <t>avverkningsanmälan</t>
        </is>
      </c>
      <c r="C277" t="inlineStr">
        <is>
          <t>Föryngringsavverkning</t>
        </is>
      </c>
      <c r="D277" s="1" t="n">
        <v>44971</v>
      </c>
      <c r="E277" s="1" t="n">
        <v>46217</v>
      </c>
      <c r="F277" t="inlineStr">
        <is>
          <t>KRONOBERGS LÄN</t>
        </is>
      </c>
      <c r="G277" t="inlineStr">
        <is>
          <t>UPPVIDINGE</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23155-2023</t>
        </is>
      </c>
      <c r="B278" t="inlineStr">
        <is>
          <t>avverkningsanmälan</t>
        </is>
      </c>
      <c r="C278" t="inlineStr">
        <is>
          <t>Föryngringsavverkning</t>
        </is>
      </c>
      <c r="D278" s="1" t="n">
        <v>45075</v>
      </c>
      <c r="E278" s="1" t="n">
        <v>46217</v>
      </c>
      <c r="F278" t="inlineStr">
        <is>
          <t>KRONOBERGS LÄN</t>
        </is>
      </c>
      <c r="G278" t="inlineStr">
        <is>
          <t>UPPVIDINGE</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47176-2021</t>
        </is>
      </c>
      <c r="B279" t="inlineStr">
        <is>
          <t>avverkningsanmälan</t>
        </is>
      </c>
      <c r="C279" t="inlineStr">
        <is>
          <t>Föryngringsavverkning</t>
        </is>
      </c>
      <c r="D279" s="1" t="n">
        <v>44446</v>
      </c>
      <c r="E279" s="1" t="n">
        <v>46217</v>
      </c>
      <c r="F279" t="inlineStr">
        <is>
          <t>KRONOBERGS LÄN</t>
        </is>
      </c>
      <c r="G279" t="inlineStr">
        <is>
          <t>UPPVIDINGE</t>
        </is>
      </c>
      <c r="I279" t="n">
        <v>5.4</v>
      </c>
      <c r="J279" t="n">
        <v>0</v>
      </c>
      <c r="K279" t="n">
        <v>0</v>
      </c>
      <c r="L279" t="n">
        <v>0</v>
      </c>
      <c r="M279" t="n">
        <v>0</v>
      </c>
      <c r="N279" t="n">
        <v>0</v>
      </c>
      <c r="O279" t="n">
        <v>0</v>
      </c>
      <c r="P279" t="n">
        <v>0</v>
      </c>
      <c r="Q279" t="n">
        <v>0</v>
      </c>
      <c r="R279" t="n">
        <v>0</v>
      </c>
      <c r="S279" t="n">
        <v>0</v>
      </c>
      <c r="T279" t="n">
        <v>0</v>
      </c>
      <c r="U279" s="2" t="inlineStr"/>
    </row>
    <row r="280" ht="15" customHeight="1">
      <c r="A280" t="inlineStr">
        <is>
          <t>A 60609-2021</t>
        </is>
      </c>
      <c r="B280" t="inlineStr">
        <is>
          <t>avverkningsanmälan</t>
        </is>
      </c>
      <c r="C280" t="inlineStr">
        <is>
          <t>Föryngringsavverkning</t>
        </is>
      </c>
      <c r="D280" s="1" t="n">
        <v>44496</v>
      </c>
      <c r="E280" s="1" t="n">
        <v>46217</v>
      </c>
      <c r="F280" t="inlineStr">
        <is>
          <t>KRONOBERGS LÄN</t>
        </is>
      </c>
      <c r="G280" t="inlineStr">
        <is>
          <t>UPPVIDINGE</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30105-2022</t>
        </is>
      </c>
      <c r="B281" t="inlineStr">
        <is>
          <t>avverkningsanmälan</t>
        </is>
      </c>
      <c r="C281" t="inlineStr">
        <is>
          <t>Föryngringsavverkning</t>
        </is>
      </c>
      <c r="D281" s="1" t="n">
        <v>44757</v>
      </c>
      <c r="E281" s="1" t="n">
        <v>46217</v>
      </c>
      <c r="F281" t="inlineStr">
        <is>
          <t>KRONOBERGS LÄN</t>
        </is>
      </c>
      <c r="G281" t="inlineStr">
        <is>
          <t>UPPVIDINGE</t>
        </is>
      </c>
      <c r="H281" t="inlineStr">
        <is>
          <t>Sveaskog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53241-2023</t>
        </is>
      </c>
      <c r="B282" t="inlineStr">
        <is>
          <t>avverkningsanmälan</t>
        </is>
      </c>
      <c r="C282" t="inlineStr">
        <is>
          <t>Föryngringsavverkning</t>
        </is>
      </c>
      <c r="D282" s="1" t="n">
        <v>45229</v>
      </c>
      <c r="E282" s="1" t="n">
        <v>46217</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45905-2025</t>
        </is>
      </c>
      <c r="B283" t="inlineStr">
        <is>
          <t>avverkningsanmälan</t>
        </is>
      </c>
      <c r="C283" t="inlineStr">
        <is>
          <t>Föryngringsavverkning</t>
        </is>
      </c>
      <c r="D283" s="1" t="n">
        <v>45923</v>
      </c>
      <c r="E283" s="1" t="n">
        <v>46217</v>
      </c>
      <c r="F283" t="inlineStr">
        <is>
          <t>KRONOBERGS LÄN</t>
        </is>
      </c>
      <c r="G283" t="inlineStr">
        <is>
          <t>UPPVIDINGE</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64072-2023</t>
        </is>
      </c>
      <c r="B284" t="inlineStr">
        <is>
          <t>avverkningsanmälan</t>
        </is>
      </c>
      <c r="C284" t="inlineStr">
        <is>
          <t>Föryngringsavverkning</t>
        </is>
      </c>
      <c r="D284" s="1" t="n">
        <v>45279</v>
      </c>
      <c r="E284" s="1" t="n">
        <v>46217</v>
      </c>
      <c r="F284" t="inlineStr">
        <is>
          <t>KRONOBERGS LÄN</t>
        </is>
      </c>
      <c r="G284" t="inlineStr">
        <is>
          <t>UPPVIDINGE</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7503-2023</t>
        </is>
      </c>
      <c r="B285" t="inlineStr">
        <is>
          <t>avverkningsanmälan</t>
        </is>
      </c>
      <c r="C285" t="inlineStr">
        <is>
          <t>Föryngringsavverkning</t>
        </is>
      </c>
      <c r="D285" s="1" t="n">
        <v>44971</v>
      </c>
      <c r="E285" s="1" t="n">
        <v>46217</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41392-2025</t>
        </is>
      </c>
      <c r="B286" t="inlineStr">
        <is>
          <t>avverkningsanmälan</t>
        </is>
      </c>
      <c r="C286" t="inlineStr">
        <is>
          <t>Föryngringsavverkning</t>
        </is>
      </c>
      <c r="D286" s="1" t="n">
        <v>45901</v>
      </c>
      <c r="E286" s="1" t="n">
        <v>46217</v>
      </c>
      <c r="F286" t="inlineStr">
        <is>
          <t>KRONOBERGS LÄN</t>
        </is>
      </c>
      <c r="G286" t="inlineStr">
        <is>
          <t>UPPVIDINGE</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73660-2021</t>
        </is>
      </c>
      <c r="B287" t="inlineStr">
        <is>
          <t>avverkningsanmälan</t>
        </is>
      </c>
      <c r="C287" t="inlineStr">
        <is>
          <t>Föryngringsavverkning</t>
        </is>
      </c>
      <c r="D287" s="1" t="n">
        <v>44552</v>
      </c>
      <c r="E287" s="1" t="n">
        <v>46217</v>
      </c>
      <c r="F287" t="inlineStr">
        <is>
          <t>KRONOBERGS LÄN</t>
        </is>
      </c>
      <c r="G287" t="inlineStr">
        <is>
          <t>UPPVIDINGE</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33252-2025</t>
        </is>
      </c>
      <c r="B288" t="inlineStr">
        <is>
          <t>avverkningsanmälan</t>
        </is>
      </c>
      <c r="C288" t="inlineStr">
        <is>
          <t>Föryngringsavverkning</t>
        </is>
      </c>
      <c r="D288" s="1" t="n">
        <v>45840</v>
      </c>
      <c r="E288" s="1" t="n">
        <v>46217</v>
      </c>
      <c r="F288" t="inlineStr">
        <is>
          <t>KRONOBERGS LÄN</t>
        </is>
      </c>
      <c r="G288" t="inlineStr">
        <is>
          <t>UPPVIDINGE</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8449-2024</t>
        </is>
      </c>
      <c r="B289" t="inlineStr">
        <is>
          <t>avverkningsanmälan</t>
        </is>
      </c>
      <c r="C289" t="inlineStr">
        <is>
          <t>Föryngringsavverkning</t>
        </is>
      </c>
      <c r="D289" s="1" t="n">
        <v>45354</v>
      </c>
      <c r="E289" s="1" t="n">
        <v>46217</v>
      </c>
      <c r="F289" t="inlineStr">
        <is>
          <t>KRONOBERGS LÄN</t>
        </is>
      </c>
      <c r="G289" t="inlineStr">
        <is>
          <t>UPPVIDINGE</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19237-2024</t>
        </is>
      </c>
      <c r="B290" t="inlineStr">
        <is>
          <t>avverkningsanmälan</t>
        </is>
      </c>
      <c r="C290" t="inlineStr">
        <is>
          <t>Föryngringsavverkning</t>
        </is>
      </c>
      <c r="D290" s="1" t="n">
        <v>45428</v>
      </c>
      <c r="E290" s="1" t="n">
        <v>46217</v>
      </c>
      <c r="F290" t="inlineStr">
        <is>
          <t>KRONOBERGS LÄN</t>
        </is>
      </c>
      <c r="G290" t="inlineStr">
        <is>
          <t>UPPVIDINGE</t>
        </is>
      </c>
      <c r="I290" t="n">
        <v>4.2</v>
      </c>
      <c r="J290" t="n">
        <v>0</v>
      </c>
      <c r="K290" t="n">
        <v>0</v>
      </c>
      <c r="L290" t="n">
        <v>0</v>
      </c>
      <c r="M290" t="n">
        <v>0</v>
      </c>
      <c r="N290" t="n">
        <v>0</v>
      </c>
      <c r="O290" t="n">
        <v>0</v>
      </c>
      <c r="P290" t="n">
        <v>0</v>
      </c>
      <c r="Q290" t="n">
        <v>0</v>
      </c>
      <c r="R290" t="n">
        <v>0</v>
      </c>
      <c r="S290" t="n">
        <v>0</v>
      </c>
      <c r="T290" t="n">
        <v>0</v>
      </c>
      <c r="U290" s="2" t="inlineStr"/>
    </row>
    <row r="291" ht="15" customHeight="1">
      <c r="A291" t="inlineStr">
        <is>
          <t>A 43094-2024</t>
        </is>
      </c>
      <c r="B291" t="inlineStr">
        <is>
          <t>avverkningsanmälan</t>
        </is>
      </c>
      <c r="C291" t="inlineStr">
        <is>
          <t>Föryngringsavverkning</t>
        </is>
      </c>
      <c r="D291" s="1" t="n">
        <v>45567</v>
      </c>
      <c r="E291" s="1" t="n">
        <v>46217</v>
      </c>
      <c r="F291" t="inlineStr">
        <is>
          <t>KRONOBERGS LÄN</t>
        </is>
      </c>
      <c r="G291" t="inlineStr">
        <is>
          <t>UPPVIDINGE</t>
        </is>
      </c>
      <c r="I291" t="n">
        <v>5.3</v>
      </c>
      <c r="J291" t="n">
        <v>0</v>
      </c>
      <c r="K291" t="n">
        <v>0</v>
      </c>
      <c r="L291" t="n">
        <v>0</v>
      </c>
      <c r="M291" t="n">
        <v>0</v>
      </c>
      <c r="N291" t="n">
        <v>0</v>
      </c>
      <c r="O291" t="n">
        <v>0</v>
      </c>
      <c r="P291" t="n">
        <v>0</v>
      </c>
      <c r="Q291" t="n">
        <v>0</v>
      </c>
      <c r="R291" t="n">
        <v>0</v>
      </c>
      <c r="S291" t="n">
        <v>0</v>
      </c>
      <c r="T291" t="n">
        <v>0</v>
      </c>
      <c r="U291" s="2" t="inlineStr"/>
    </row>
    <row r="292" ht="15" customHeight="1">
      <c r="A292" t="inlineStr">
        <is>
          <t>A 24788-2024</t>
        </is>
      </c>
      <c r="B292" t="inlineStr">
        <is>
          <t>avverkningsanmälan</t>
        </is>
      </c>
      <c r="C292" t="inlineStr">
        <is>
          <t>Föryngringsavverkning</t>
        </is>
      </c>
      <c r="D292" s="1" t="n">
        <v>45460</v>
      </c>
      <c r="E292" s="1" t="n">
        <v>46217</v>
      </c>
      <c r="F292" t="inlineStr">
        <is>
          <t>KRONOBERGS LÄN</t>
        </is>
      </c>
      <c r="G292" t="inlineStr">
        <is>
          <t>UPPVIDINGE</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25425-2026</t>
        </is>
      </c>
      <c r="B293" t="inlineStr">
        <is>
          <t>avverkningsanmälan</t>
        </is>
      </c>
      <c r="C293" t="inlineStr">
        <is>
          <t>Föryngringsavverkning</t>
        </is>
      </c>
      <c r="D293" s="1" t="n">
        <v>46177</v>
      </c>
      <c r="E293" s="1" t="n">
        <v>46217</v>
      </c>
      <c r="F293" t="inlineStr">
        <is>
          <t>KRONOBERGS LÄN</t>
        </is>
      </c>
      <c r="G293" t="inlineStr">
        <is>
          <t>UPPVIDINGE</t>
        </is>
      </c>
      <c r="H293" t="inlineStr">
        <is>
          <t>Sveaskog</t>
        </is>
      </c>
      <c r="I293" t="n">
        <v>7.9</v>
      </c>
      <c r="J293" t="n">
        <v>0</v>
      </c>
      <c r="K293" t="n">
        <v>0</v>
      </c>
      <c r="L293" t="n">
        <v>0</v>
      </c>
      <c r="M293" t="n">
        <v>0</v>
      </c>
      <c r="N293" t="n">
        <v>0</v>
      </c>
      <c r="O293" t="n">
        <v>0</v>
      </c>
      <c r="P293" t="n">
        <v>0</v>
      </c>
      <c r="Q293" t="n">
        <v>0</v>
      </c>
      <c r="R293" t="n">
        <v>0</v>
      </c>
      <c r="S293" t="n">
        <v>0</v>
      </c>
      <c r="T293" t="n">
        <v>0</v>
      </c>
      <c r="U293" s="2" t="inlineStr"/>
    </row>
    <row r="294" ht="15" customHeight="1">
      <c r="A294" t="inlineStr">
        <is>
          <t>A 25426-2026</t>
        </is>
      </c>
      <c r="B294" t="inlineStr">
        <is>
          <t>avverkningsanmälan</t>
        </is>
      </c>
      <c r="C294" t="inlineStr">
        <is>
          <t>Föryngringsavverkning</t>
        </is>
      </c>
      <c r="D294" s="1" t="n">
        <v>46177</v>
      </c>
      <c r="E294" s="1" t="n">
        <v>46217</v>
      </c>
      <c r="F294" t="inlineStr">
        <is>
          <t>KRONOBERGS LÄN</t>
        </is>
      </c>
      <c r="G294" t="inlineStr">
        <is>
          <t>UPPVIDINGE</t>
        </is>
      </c>
      <c r="H294" t="inlineStr">
        <is>
          <t>Sveaskog</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33876-2025</t>
        </is>
      </c>
      <c r="B295" t="inlineStr">
        <is>
          <t>avverkningsanmälan</t>
        </is>
      </c>
      <c r="C295" t="inlineStr">
        <is>
          <t>Föryngringsavverkning</t>
        </is>
      </c>
      <c r="D295" s="1" t="n">
        <v>45842</v>
      </c>
      <c r="E295" s="1" t="n">
        <v>46217</v>
      </c>
      <c r="F295" t="inlineStr">
        <is>
          <t>KRONOBERGS LÄN</t>
        </is>
      </c>
      <c r="G295" t="inlineStr">
        <is>
          <t>UPPVIDINGE</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18304-2023</t>
        </is>
      </c>
      <c r="B296" t="inlineStr">
        <is>
          <t>avverkningsanmälan</t>
        </is>
      </c>
      <c r="C296" t="inlineStr">
        <is>
          <t>Föryngringsavverkning</t>
        </is>
      </c>
      <c r="D296" s="1" t="n">
        <v>45041</v>
      </c>
      <c r="E296" s="1" t="n">
        <v>46217</v>
      </c>
      <c r="F296" t="inlineStr">
        <is>
          <t>KRONOBERGS LÄN</t>
        </is>
      </c>
      <c r="G296" t="inlineStr">
        <is>
          <t>UPPVIDINGE</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41393-2025</t>
        </is>
      </c>
      <c r="B297" t="inlineStr">
        <is>
          <t>avverkningsanmälan</t>
        </is>
      </c>
      <c r="C297" t="inlineStr">
        <is>
          <t>Föryngringsavverkning</t>
        </is>
      </c>
      <c r="D297" s="1" t="n">
        <v>45901</v>
      </c>
      <c r="E297" s="1" t="n">
        <v>46217</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25427-2026</t>
        </is>
      </c>
      <c r="B298" t="inlineStr">
        <is>
          <t>avverkningsanmälan</t>
        </is>
      </c>
      <c r="C298" t="inlineStr">
        <is>
          <t>Föryngringsavverkning</t>
        </is>
      </c>
      <c r="D298" s="1" t="n">
        <v>46177</v>
      </c>
      <c r="E298" s="1" t="n">
        <v>46217</v>
      </c>
      <c r="F298" t="inlineStr">
        <is>
          <t>KRONOBERGS LÄN</t>
        </is>
      </c>
      <c r="G298" t="inlineStr">
        <is>
          <t>UPPVIDINGE</t>
        </is>
      </c>
      <c r="H298" t="inlineStr">
        <is>
          <t>Sveaskog</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25429-2026</t>
        </is>
      </c>
      <c r="B299" t="inlineStr">
        <is>
          <t>avverkningsanmälan</t>
        </is>
      </c>
      <c r="C299" t="inlineStr">
        <is>
          <t>Föryngringsavverkning</t>
        </is>
      </c>
      <c r="D299" s="1" t="n">
        <v>46177</v>
      </c>
      <c r="E299" s="1" t="n">
        <v>46217</v>
      </c>
      <c r="F299" t="inlineStr">
        <is>
          <t>KRONOBERGS LÄN</t>
        </is>
      </c>
      <c r="G299" t="inlineStr">
        <is>
          <t>UPPVIDINGE</t>
        </is>
      </c>
      <c r="H299" t="inlineStr">
        <is>
          <t>Sveaskog</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15925-2025</t>
        </is>
      </c>
      <c r="B300" t="inlineStr">
        <is>
          <t>avverkningsanmälan</t>
        </is>
      </c>
      <c r="C300" t="inlineStr">
        <is>
          <t>Föryngringsavverkning</t>
        </is>
      </c>
      <c r="D300" s="1" t="n">
        <v>45749</v>
      </c>
      <c r="E300" s="1" t="n">
        <v>46217</v>
      </c>
      <c r="F300" t="inlineStr">
        <is>
          <t>KRONOBERGS LÄN</t>
        </is>
      </c>
      <c r="G300" t="inlineStr">
        <is>
          <t>UPPVIDINGE</t>
        </is>
      </c>
      <c r="I300" t="n">
        <v>5</v>
      </c>
      <c r="J300" t="n">
        <v>0</v>
      </c>
      <c r="K300" t="n">
        <v>0</v>
      </c>
      <c r="L300" t="n">
        <v>0</v>
      </c>
      <c r="M300" t="n">
        <v>0</v>
      </c>
      <c r="N300" t="n">
        <v>0</v>
      </c>
      <c r="O300" t="n">
        <v>0</v>
      </c>
      <c r="P300" t="n">
        <v>0</v>
      </c>
      <c r="Q300" t="n">
        <v>0</v>
      </c>
      <c r="R300" t="n">
        <v>0</v>
      </c>
      <c r="S300" t="n">
        <v>0</v>
      </c>
      <c r="T300" t="n">
        <v>0</v>
      </c>
      <c r="U300" s="2" t="inlineStr"/>
    </row>
    <row r="301" ht="15" customHeight="1">
      <c r="A301" t="inlineStr">
        <is>
          <t>A 38856-2024</t>
        </is>
      </c>
      <c r="B301" t="inlineStr">
        <is>
          <t>avverkningsanmälan</t>
        </is>
      </c>
      <c r="C301" t="inlineStr">
        <is>
          <t>Avverkning för annat ändamål</t>
        </is>
      </c>
      <c r="D301" s="1" t="n">
        <v>45547</v>
      </c>
      <c r="E301" s="1" t="n">
        <v>46217</v>
      </c>
      <c r="F301" t="inlineStr">
        <is>
          <t>KRONOBERGS LÄN</t>
        </is>
      </c>
      <c r="G301" t="inlineStr">
        <is>
          <t>UPPVIDINGE</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67156-2021</t>
        </is>
      </c>
      <c r="B302" t="inlineStr">
        <is>
          <t>avverkningsanmälan</t>
        </is>
      </c>
      <c r="C302" t="inlineStr">
        <is>
          <t>Föryngringsavverkning</t>
        </is>
      </c>
      <c r="D302" s="1" t="n">
        <v>44523</v>
      </c>
      <c r="E302" s="1" t="n">
        <v>46217</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939-2025</t>
        </is>
      </c>
      <c r="B303" t="inlineStr">
        <is>
          <t>avverkningsanmälan</t>
        </is>
      </c>
      <c r="C303" t="inlineStr">
        <is>
          <t>Föryngringsavverkning</t>
        </is>
      </c>
      <c r="D303" s="1" t="n">
        <v>45666</v>
      </c>
      <c r="E303" s="1" t="n">
        <v>46217</v>
      </c>
      <c r="F303" t="inlineStr">
        <is>
          <t>KRONOBERGS LÄN</t>
        </is>
      </c>
      <c r="G303" t="inlineStr">
        <is>
          <t>UPPVIDINGE</t>
        </is>
      </c>
      <c r="I303" t="n">
        <v>4</v>
      </c>
      <c r="J303" t="n">
        <v>0</v>
      </c>
      <c r="K303" t="n">
        <v>0</v>
      </c>
      <c r="L303" t="n">
        <v>0</v>
      </c>
      <c r="M303" t="n">
        <v>0</v>
      </c>
      <c r="N303" t="n">
        <v>0</v>
      </c>
      <c r="O303" t="n">
        <v>0</v>
      </c>
      <c r="P303" t="n">
        <v>0</v>
      </c>
      <c r="Q303" t="n">
        <v>0</v>
      </c>
      <c r="R303" t="n">
        <v>0</v>
      </c>
      <c r="S303" t="n">
        <v>0</v>
      </c>
      <c r="T303" t="n">
        <v>0</v>
      </c>
      <c r="U303" s="2" t="inlineStr"/>
    </row>
    <row r="304" ht="15" customHeight="1">
      <c r="A304" t="inlineStr">
        <is>
          <t>A 43233-2025</t>
        </is>
      </c>
      <c r="B304" t="inlineStr">
        <is>
          <t>avverkningsanmälan</t>
        </is>
      </c>
      <c r="C304" t="inlineStr">
        <is>
          <t>Föryngringsavverkning</t>
        </is>
      </c>
      <c r="D304" s="1" t="n">
        <v>45910</v>
      </c>
      <c r="E304" s="1" t="n">
        <v>46217</v>
      </c>
      <c r="F304" t="inlineStr">
        <is>
          <t>KRONOBERGS LÄN</t>
        </is>
      </c>
      <c r="G304" t="inlineStr">
        <is>
          <t>UPPVIDINGE</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43284-2025</t>
        </is>
      </c>
      <c r="B305" t="inlineStr">
        <is>
          <t>avverkningsanmälan</t>
        </is>
      </c>
      <c r="C305" t="inlineStr">
        <is>
          <t>Föryngringsavverkning</t>
        </is>
      </c>
      <c r="D305" s="1" t="n">
        <v>45910</v>
      </c>
      <c r="E305" s="1" t="n">
        <v>46217</v>
      </c>
      <c r="F305" t="inlineStr">
        <is>
          <t>KRONOBERGS LÄN</t>
        </is>
      </c>
      <c r="G305" t="inlineStr">
        <is>
          <t>UPPVIDINGE</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43297-2025</t>
        </is>
      </c>
      <c r="B306" t="inlineStr">
        <is>
          <t>avverkningsanmälan</t>
        </is>
      </c>
      <c r="C306" t="inlineStr">
        <is>
          <t>Föryngringsavverkning</t>
        </is>
      </c>
      <c r="D306" s="1" t="n">
        <v>45910</v>
      </c>
      <c r="E306" s="1" t="n">
        <v>46217</v>
      </c>
      <c r="F306" t="inlineStr">
        <is>
          <t>KRONOBERGS LÄN</t>
        </is>
      </c>
      <c r="G306" t="inlineStr">
        <is>
          <t>UPPVIDINGE</t>
        </is>
      </c>
      <c r="I306" t="n">
        <v>5.3</v>
      </c>
      <c r="J306" t="n">
        <v>0</v>
      </c>
      <c r="K306" t="n">
        <v>0</v>
      </c>
      <c r="L306" t="n">
        <v>0</v>
      </c>
      <c r="M306" t="n">
        <v>0</v>
      </c>
      <c r="N306" t="n">
        <v>0</v>
      </c>
      <c r="O306" t="n">
        <v>0</v>
      </c>
      <c r="P306" t="n">
        <v>0</v>
      </c>
      <c r="Q306" t="n">
        <v>0</v>
      </c>
      <c r="R306" t="n">
        <v>0</v>
      </c>
      <c r="S306" t="n">
        <v>0</v>
      </c>
      <c r="T306" t="n">
        <v>0</v>
      </c>
      <c r="U306" s="2" t="inlineStr"/>
    </row>
    <row r="307" ht="15" customHeight="1">
      <c r="A307" t="inlineStr">
        <is>
          <t>A 32437-2025</t>
        </is>
      </c>
      <c r="B307" t="inlineStr">
        <is>
          <t>avverkningsanmälan</t>
        </is>
      </c>
      <c r="C307" t="inlineStr">
        <is>
          <t>Föryngringsavverkning</t>
        </is>
      </c>
      <c r="D307" s="1" t="n">
        <v>45838</v>
      </c>
      <c r="E307" s="1" t="n">
        <v>46217</v>
      </c>
      <c r="F307" t="inlineStr">
        <is>
          <t>KRONOBERGS LÄN</t>
        </is>
      </c>
      <c r="G307" t="inlineStr">
        <is>
          <t>UPPVIDINGE</t>
        </is>
      </c>
      <c r="I307" t="n">
        <v>2.5</v>
      </c>
      <c r="J307" t="n">
        <v>0</v>
      </c>
      <c r="K307" t="n">
        <v>0</v>
      </c>
      <c r="L307" t="n">
        <v>0</v>
      </c>
      <c r="M307" t="n">
        <v>0</v>
      </c>
      <c r="N307" t="n">
        <v>0</v>
      </c>
      <c r="O307" t="n">
        <v>0</v>
      </c>
      <c r="P307" t="n">
        <v>0</v>
      </c>
      <c r="Q307" t="n">
        <v>0</v>
      </c>
      <c r="R307" t="n">
        <v>0</v>
      </c>
      <c r="S307" t="n">
        <v>0</v>
      </c>
      <c r="T307" t="n">
        <v>0</v>
      </c>
      <c r="U307" s="2" t="inlineStr"/>
    </row>
    <row r="308" ht="15" customHeight="1">
      <c r="A308" t="inlineStr">
        <is>
          <t>A 27887-2024</t>
        </is>
      </c>
      <c r="B308" t="inlineStr">
        <is>
          <t>avverkningsanmälan</t>
        </is>
      </c>
      <c r="C308" t="inlineStr">
        <is>
          <t>Föryngringsavverkning</t>
        </is>
      </c>
      <c r="D308" s="1" t="n">
        <v>45475</v>
      </c>
      <c r="E308" s="1" t="n">
        <v>46217</v>
      </c>
      <c r="F308" t="inlineStr">
        <is>
          <t>KRONOBERGS LÄN</t>
        </is>
      </c>
      <c r="G308" t="inlineStr">
        <is>
          <t>UPPVIDINGE</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43305-2025</t>
        </is>
      </c>
      <c r="B309" t="inlineStr">
        <is>
          <t>avverkningsanmälan</t>
        </is>
      </c>
      <c r="C309" t="inlineStr">
        <is>
          <t>Föryngringsavverkning</t>
        </is>
      </c>
      <c r="D309" s="1" t="n">
        <v>45910</v>
      </c>
      <c r="E309" s="1" t="n">
        <v>46217</v>
      </c>
      <c r="F309" t="inlineStr">
        <is>
          <t>KRONOBERGS LÄN</t>
        </is>
      </c>
      <c r="G309" t="inlineStr">
        <is>
          <t>UPPVIDINGE</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43580-2023</t>
        </is>
      </c>
      <c r="B310" t="inlineStr">
        <is>
          <t>avverkningsanmälan</t>
        </is>
      </c>
      <c r="C310" t="inlineStr">
        <is>
          <t>Föryngringsavverkning</t>
        </is>
      </c>
      <c r="D310" s="1" t="n">
        <v>45181</v>
      </c>
      <c r="E310" s="1" t="n">
        <v>46217</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8926-2024</t>
        </is>
      </c>
      <c r="B311" t="inlineStr">
        <is>
          <t>avverkningsanmälan</t>
        </is>
      </c>
      <c r="C311" t="inlineStr">
        <is>
          <t>Avverkning för annat ändamål</t>
        </is>
      </c>
      <c r="D311" s="1" t="n">
        <v>45357</v>
      </c>
      <c r="E311" s="1" t="n">
        <v>46217</v>
      </c>
      <c r="F311" t="inlineStr">
        <is>
          <t>KRONOBERGS LÄN</t>
        </is>
      </c>
      <c r="G311" t="inlineStr">
        <is>
          <t>UPPVIDINGE</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54072-2024</t>
        </is>
      </c>
      <c r="B312" t="inlineStr">
        <is>
          <t>avverkningsanmälan</t>
        </is>
      </c>
      <c r="C312" t="inlineStr">
        <is>
          <t>Föryngringsavverkning</t>
        </is>
      </c>
      <c r="D312" s="1" t="n">
        <v>45615</v>
      </c>
      <c r="E312" s="1" t="n">
        <v>46217</v>
      </c>
      <c r="F312" t="inlineStr">
        <is>
          <t>KRONOBERGS LÄN</t>
        </is>
      </c>
      <c r="G312" t="inlineStr">
        <is>
          <t>UPPVIDINGE</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45798-2025</t>
        </is>
      </c>
      <c r="B313" t="inlineStr">
        <is>
          <t>avverkningsanmälan</t>
        </is>
      </c>
      <c r="C313" t="inlineStr">
        <is>
          <t>Föryngringsavverkning</t>
        </is>
      </c>
      <c r="D313" s="1" t="n">
        <v>45923</v>
      </c>
      <c r="E313" s="1" t="n">
        <v>46217</v>
      </c>
      <c r="F313" t="inlineStr">
        <is>
          <t>KRONOBERGS LÄN</t>
        </is>
      </c>
      <c r="G313" t="inlineStr">
        <is>
          <t>UPPVIDINGE</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45695-2025</t>
        </is>
      </c>
      <c r="B314" t="inlineStr">
        <is>
          <t>avverkningsanmälan</t>
        </is>
      </c>
      <c r="C314" t="inlineStr">
        <is>
          <t>Föryngringsavverkning</t>
        </is>
      </c>
      <c r="D314" s="1" t="n">
        <v>45923</v>
      </c>
      <c r="E314" s="1" t="n">
        <v>46217</v>
      </c>
      <c r="F314" t="inlineStr">
        <is>
          <t>KRONOBERGS LÄN</t>
        </is>
      </c>
      <c r="G314" t="inlineStr">
        <is>
          <t>UPPVIDINGE</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26118-2026</t>
        </is>
      </c>
      <c r="B315" t="inlineStr">
        <is>
          <t>avverkningsanmälan</t>
        </is>
      </c>
      <c r="C315" t="inlineStr">
        <is>
          <t>Föryngringsavverkning</t>
        </is>
      </c>
      <c r="D315" s="1" t="n">
        <v>46181</v>
      </c>
      <c r="E315" s="1" t="n">
        <v>46217</v>
      </c>
      <c r="F315" t="inlineStr">
        <is>
          <t>KRONOBERGS LÄN</t>
        </is>
      </c>
      <c r="G315" t="inlineStr">
        <is>
          <t>UPPVIDINGE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26121-2026</t>
        </is>
      </c>
      <c r="B316" t="inlineStr">
        <is>
          <t>avverkningsanmälan</t>
        </is>
      </c>
      <c r="C316" t="inlineStr">
        <is>
          <t>Föryngringsavverkning</t>
        </is>
      </c>
      <c r="D316" s="1" t="n">
        <v>46181</v>
      </c>
      <c r="E316" s="1" t="n">
        <v>46217</v>
      </c>
      <c r="F316" t="inlineStr">
        <is>
          <t>KRONOBERGS LÄN</t>
        </is>
      </c>
      <c r="G316" t="inlineStr">
        <is>
          <t>UPPVIDINGE</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31765-2023</t>
        </is>
      </c>
      <c r="B317" t="inlineStr">
        <is>
          <t>avverkningsanmälan</t>
        </is>
      </c>
      <c r="C317" t="inlineStr">
        <is>
          <t>Föryngringsavverkning</t>
        </is>
      </c>
      <c r="D317" s="1" t="n">
        <v>45118</v>
      </c>
      <c r="E317" s="1" t="n">
        <v>46217</v>
      </c>
      <c r="F317" t="inlineStr">
        <is>
          <t>KRONOBERGS LÄN</t>
        </is>
      </c>
      <c r="G317" t="inlineStr">
        <is>
          <t>UPPVIDINGE</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36864-2025</t>
        </is>
      </c>
      <c r="B318" t="inlineStr">
        <is>
          <t>avverkningsanmälan</t>
        </is>
      </c>
      <c r="C318" t="inlineStr">
        <is>
          <t>Föryngringsavverkning</t>
        </is>
      </c>
      <c r="D318" s="1" t="n">
        <v>45873</v>
      </c>
      <c r="E318" s="1" t="n">
        <v>46217</v>
      </c>
      <c r="F318" t="inlineStr">
        <is>
          <t>KRONOBERGS LÄN</t>
        </is>
      </c>
      <c r="G318" t="inlineStr">
        <is>
          <t>UPPVIDINGE</t>
        </is>
      </c>
      <c r="I318" t="n">
        <v>5.2</v>
      </c>
      <c r="J318" t="n">
        <v>0</v>
      </c>
      <c r="K318" t="n">
        <v>0</v>
      </c>
      <c r="L318" t="n">
        <v>0</v>
      </c>
      <c r="M318" t="n">
        <v>0</v>
      </c>
      <c r="N318" t="n">
        <v>0</v>
      </c>
      <c r="O318" t="n">
        <v>0</v>
      </c>
      <c r="P318" t="n">
        <v>0</v>
      </c>
      <c r="Q318" t="n">
        <v>0</v>
      </c>
      <c r="R318" t="n">
        <v>0</v>
      </c>
      <c r="S318" t="n">
        <v>0</v>
      </c>
      <c r="T318" t="n">
        <v>0</v>
      </c>
      <c r="U318" s="2" t="inlineStr"/>
    </row>
    <row r="319" ht="15" customHeight="1">
      <c r="A319" t="inlineStr">
        <is>
          <t>A 47015-2023</t>
        </is>
      </c>
      <c r="B319" t="inlineStr">
        <is>
          <t>avverkningsanmälan</t>
        </is>
      </c>
      <c r="C319" t="inlineStr">
        <is>
          <t>Föryngringsavverkning</t>
        </is>
      </c>
      <c r="D319" s="1" t="n">
        <v>45201</v>
      </c>
      <c r="E319" s="1" t="n">
        <v>46217</v>
      </c>
      <c r="F319" t="inlineStr">
        <is>
          <t>KRONOBERGS LÄN</t>
        </is>
      </c>
      <c r="G319" t="inlineStr">
        <is>
          <t>UPPVIDINGE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19453-2026</t>
        </is>
      </c>
      <c r="B320" t="inlineStr">
        <is>
          <t>avverkningsanmälan</t>
        </is>
      </c>
      <c r="C320" t="inlineStr">
        <is>
          <t>Föryngringsavverkning</t>
        </is>
      </c>
      <c r="D320" s="1" t="n">
        <v>46133</v>
      </c>
      <c r="E320" s="1" t="n">
        <v>46217</v>
      </c>
      <c r="F320" t="inlineStr">
        <is>
          <t>KRONOBERGS LÄN</t>
        </is>
      </c>
      <c r="G320" t="inlineStr">
        <is>
          <t>UPPVIDINGE</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38334-2021</t>
        </is>
      </c>
      <c r="B321" t="inlineStr">
        <is>
          <t>avverkningsanmälan</t>
        </is>
      </c>
      <c r="C321" t="inlineStr">
        <is>
          <t>Föryngringsavverkning</t>
        </is>
      </c>
      <c r="D321" s="1" t="n">
        <v>44406</v>
      </c>
      <c r="E321" s="1" t="n">
        <v>46217</v>
      </c>
      <c r="F321" t="inlineStr">
        <is>
          <t>KRONOBERGS LÄN</t>
        </is>
      </c>
      <c r="G321" t="inlineStr">
        <is>
          <t>UPPVIDINGE</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16348-2023</t>
        </is>
      </c>
      <c r="B322" t="inlineStr">
        <is>
          <t>avverkningsanmälan</t>
        </is>
      </c>
      <c r="C322" t="inlineStr">
        <is>
          <t>Föryngringsavverkning</t>
        </is>
      </c>
      <c r="D322" s="1" t="n">
        <v>45028</v>
      </c>
      <c r="E322" s="1" t="n">
        <v>46217</v>
      </c>
      <c r="F322" t="inlineStr">
        <is>
          <t>KRONOBERGS LÄN</t>
        </is>
      </c>
      <c r="G322" t="inlineStr">
        <is>
          <t>UPPVIDINGE</t>
        </is>
      </c>
      <c r="H322" t="inlineStr">
        <is>
          <t>Sveaskog</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27415-2024</t>
        </is>
      </c>
      <c r="B323" t="inlineStr">
        <is>
          <t>avverkningsanmälan</t>
        </is>
      </c>
      <c r="C323" t="inlineStr">
        <is>
          <t>Föryngringsavverkning</t>
        </is>
      </c>
      <c r="D323" s="1" t="n">
        <v>45474</v>
      </c>
      <c r="E323" s="1" t="n">
        <v>46217</v>
      </c>
      <c r="F323" t="inlineStr">
        <is>
          <t>KRONOBERGS LÄN</t>
        </is>
      </c>
      <c r="G323" t="inlineStr">
        <is>
          <t>UPPVIDINGE</t>
        </is>
      </c>
      <c r="I323" t="n">
        <v>8.4</v>
      </c>
      <c r="J323" t="n">
        <v>0</v>
      </c>
      <c r="K323" t="n">
        <v>0</v>
      </c>
      <c r="L323" t="n">
        <v>0</v>
      </c>
      <c r="M323" t="n">
        <v>0</v>
      </c>
      <c r="N323" t="n">
        <v>0</v>
      </c>
      <c r="O323" t="n">
        <v>0</v>
      </c>
      <c r="P323" t="n">
        <v>0</v>
      </c>
      <c r="Q323" t="n">
        <v>0</v>
      </c>
      <c r="R323" t="n">
        <v>0</v>
      </c>
      <c r="S323" t="n">
        <v>0</v>
      </c>
      <c r="T323" t="n">
        <v>0</v>
      </c>
      <c r="U323" s="2" t="inlineStr"/>
    </row>
    <row r="324" ht="15" customHeight="1">
      <c r="A324" t="inlineStr">
        <is>
          <t>A 5273-2025</t>
        </is>
      </c>
      <c r="B324" t="inlineStr">
        <is>
          <t>avverkningsanmälan</t>
        </is>
      </c>
      <c r="C324" t="inlineStr">
        <is>
          <t>Föryngringsavverkning</t>
        </is>
      </c>
      <c r="D324" s="1" t="n">
        <v>45692</v>
      </c>
      <c r="E324" s="1" t="n">
        <v>46217</v>
      </c>
      <c r="F324" t="inlineStr">
        <is>
          <t>KRONOBERGS LÄN</t>
        </is>
      </c>
      <c r="G324" t="inlineStr">
        <is>
          <t>UPPVIDINGE</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62559-2022</t>
        </is>
      </c>
      <c r="B325" t="inlineStr">
        <is>
          <t>avverkningsanmälan</t>
        </is>
      </c>
      <c r="C325" t="inlineStr">
        <is>
          <t>Föryngringsavverkning</t>
        </is>
      </c>
      <c r="D325" s="1" t="n">
        <v>44924</v>
      </c>
      <c r="E325" s="1" t="n">
        <v>46217</v>
      </c>
      <c r="F325" t="inlineStr">
        <is>
          <t>KRONOBERGS LÄN</t>
        </is>
      </c>
      <c r="G325" t="inlineStr">
        <is>
          <t>UPPVIDINGE</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48400-2025</t>
        </is>
      </c>
      <c r="B326" t="inlineStr">
        <is>
          <t>avverkningsanmälan</t>
        </is>
      </c>
      <c r="C326" t="inlineStr">
        <is>
          <t>Föryngringsavverkning</t>
        </is>
      </c>
      <c r="D326" s="1" t="n">
        <v>45934</v>
      </c>
      <c r="E326" s="1" t="n">
        <v>46217</v>
      </c>
      <c r="F326" t="inlineStr">
        <is>
          <t>KRONOBERGS LÄN</t>
        </is>
      </c>
      <c r="G326" t="inlineStr">
        <is>
          <t>UPPVIDINGE</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48397-2025</t>
        </is>
      </c>
      <c r="B327" t="inlineStr">
        <is>
          <t>avverkningsanmälan</t>
        </is>
      </c>
      <c r="C327" t="inlineStr">
        <is>
          <t>Föryngringsavverkning</t>
        </is>
      </c>
      <c r="D327" s="1" t="n">
        <v>45934</v>
      </c>
      <c r="E327" s="1" t="n">
        <v>46217</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48278-2025</t>
        </is>
      </c>
      <c r="B328" t="inlineStr">
        <is>
          <t>avverkningsanmälan</t>
        </is>
      </c>
      <c r="C328" t="inlineStr">
        <is>
          <t>Föryngringsavverkning</t>
        </is>
      </c>
      <c r="D328" s="1" t="n">
        <v>45933</v>
      </c>
      <c r="E328" s="1" t="n">
        <v>46217</v>
      </c>
      <c r="F328" t="inlineStr">
        <is>
          <t>KRONOBERGS LÄN</t>
        </is>
      </c>
      <c r="G328" t="inlineStr">
        <is>
          <t>UPPVIDINGE</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48399-2025</t>
        </is>
      </c>
      <c r="B329" t="inlineStr">
        <is>
          <t>avverkningsanmälan</t>
        </is>
      </c>
      <c r="C329" t="inlineStr">
        <is>
          <t>Föryngringsavverkning</t>
        </is>
      </c>
      <c r="D329" s="1" t="n">
        <v>45934</v>
      </c>
      <c r="E329" s="1" t="n">
        <v>46217</v>
      </c>
      <c r="F329" t="inlineStr">
        <is>
          <t>KRONOBERGS LÄN</t>
        </is>
      </c>
      <c r="G329" t="inlineStr">
        <is>
          <t>UPPVIDINGE</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59278-2024</t>
        </is>
      </c>
      <c r="B330" t="inlineStr">
        <is>
          <t>avverkningsanmälan</t>
        </is>
      </c>
      <c r="C330" t="inlineStr">
        <is>
          <t>Föryngringsavverkning</t>
        </is>
      </c>
      <c r="D330" s="1" t="n">
        <v>45637</v>
      </c>
      <c r="E330" s="1" t="n">
        <v>46217</v>
      </c>
      <c r="F330" t="inlineStr">
        <is>
          <t>KRONOBERGS LÄN</t>
        </is>
      </c>
      <c r="G330" t="inlineStr">
        <is>
          <t>UPPVIDINGE</t>
        </is>
      </c>
      <c r="I330" t="n">
        <v>3.5</v>
      </c>
      <c r="J330" t="n">
        <v>0</v>
      </c>
      <c r="K330" t="n">
        <v>0</v>
      </c>
      <c r="L330" t="n">
        <v>0</v>
      </c>
      <c r="M330" t="n">
        <v>0</v>
      </c>
      <c r="N330" t="n">
        <v>0</v>
      </c>
      <c r="O330" t="n">
        <v>0</v>
      </c>
      <c r="P330" t="n">
        <v>0</v>
      </c>
      <c r="Q330" t="n">
        <v>0</v>
      </c>
      <c r="R330" t="n">
        <v>0</v>
      </c>
      <c r="S330" t="n">
        <v>0</v>
      </c>
      <c r="T330" t="n">
        <v>0</v>
      </c>
      <c r="U330" s="2" t="inlineStr"/>
    </row>
    <row r="331" ht="15" customHeight="1">
      <c r="A331" t="inlineStr">
        <is>
          <t>A 38777-2021</t>
        </is>
      </c>
      <c r="B331" t="inlineStr">
        <is>
          <t>avverkningsanmälan</t>
        </is>
      </c>
      <c r="C331" t="inlineStr">
        <is>
          <t>Föryngringsavverkning</t>
        </is>
      </c>
      <c r="D331" s="1" t="n">
        <v>44410</v>
      </c>
      <c r="E331" s="1" t="n">
        <v>46217</v>
      </c>
      <c r="F331" t="inlineStr">
        <is>
          <t>KRONOBERGS LÄN</t>
        </is>
      </c>
      <c r="G331" t="inlineStr">
        <is>
          <t>UPPVIDINGE</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52190-2023</t>
        </is>
      </c>
      <c r="B332" t="inlineStr">
        <is>
          <t>avverkningsanmälan</t>
        </is>
      </c>
      <c r="C332" t="inlineStr">
        <is>
          <t>Avverkning för annat ändamål</t>
        </is>
      </c>
      <c r="D332" s="1" t="n">
        <v>45224</v>
      </c>
      <c r="E332" s="1" t="n">
        <v>46217</v>
      </c>
      <c r="F332" t="inlineStr">
        <is>
          <t>KRONOBERGS LÄN</t>
        </is>
      </c>
      <c r="G332" t="inlineStr">
        <is>
          <t>UPPVIDINGE</t>
        </is>
      </c>
      <c r="H332" t="inlineStr">
        <is>
          <t>Kommuner</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30108-2022</t>
        </is>
      </c>
      <c r="B333" t="inlineStr">
        <is>
          <t>avverkningsanmälan</t>
        </is>
      </c>
      <c r="C333" t="inlineStr">
        <is>
          <t>Föryngringsavverkning</t>
        </is>
      </c>
      <c r="D333" s="1" t="n">
        <v>44757</v>
      </c>
      <c r="E333" s="1" t="n">
        <v>46217</v>
      </c>
      <c r="F333" t="inlineStr">
        <is>
          <t>KRONOBERGS LÄN</t>
        </is>
      </c>
      <c r="G333" t="inlineStr">
        <is>
          <t>UPPVIDINGE</t>
        </is>
      </c>
      <c r="H333" t="inlineStr">
        <is>
          <t>Sveaskog</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49852-2025</t>
        </is>
      </c>
      <c r="B334" t="inlineStr">
        <is>
          <t>avverkningsanmälan</t>
        </is>
      </c>
      <c r="C334" t="inlineStr">
        <is>
          <t>Föryngringsavverkning</t>
        </is>
      </c>
      <c r="D334" s="1" t="n">
        <v>45940</v>
      </c>
      <c r="E334" s="1" t="n">
        <v>46217</v>
      </c>
      <c r="F334" t="inlineStr">
        <is>
          <t>KRONOBERGS LÄN</t>
        </is>
      </c>
      <c r="G334" t="inlineStr">
        <is>
          <t>UPPVIDINGE</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37040-2023</t>
        </is>
      </c>
      <c r="B335" t="inlineStr">
        <is>
          <t>avverkningsanmälan</t>
        </is>
      </c>
      <c r="C335" t="inlineStr">
        <is>
          <t>Föryngringsavverkning</t>
        </is>
      </c>
      <c r="D335" s="1" t="n">
        <v>45155</v>
      </c>
      <c r="E335" s="1" t="n">
        <v>46217</v>
      </c>
      <c r="F335" t="inlineStr">
        <is>
          <t>KRONOBERGS LÄN</t>
        </is>
      </c>
      <c r="G335" t="inlineStr">
        <is>
          <t>UPPVIDINGE</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63204-2023</t>
        </is>
      </c>
      <c r="B336" t="inlineStr">
        <is>
          <t>avverkningsanmälan</t>
        </is>
      </c>
      <c r="C336" t="inlineStr">
        <is>
          <t>Föryngringsavverkning</t>
        </is>
      </c>
      <c r="D336" s="1" t="n">
        <v>45273</v>
      </c>
      <c r="E336" s="1" t="n">
        <v>46217</v>
      </c>
      <c r="F336" t="inlineStr">
        <is>
          <t>KRONOBERGS LÄN</t>
        </is>
      </c>
      <c r="G336" t="inlineStr">
        <is>
          <t>UPPVIDINGE</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63211-2023</t>
        </is>
      </c>
      <c r="B337" t="inlineStr">
        <is>
          <t>avverkningsanmälan</t>
        </is>
      </c>
      <c r="C337" t="inlineStr">
        <is>
          <t>Föryngringsavverkning</t>
        </is>
      </c>
      <c r="D337" s="1" t="n">
        <v>45273</v>
      </c>
      <c r="E337" s="1" t="n">
        <v>46217</v>
      </c>
      <c r="F337" t="inlineStr">
        <is>
          <t>KRONOBERGS LÄN</t>
        </is>
      </c>
      <c r="G337" t="inlineStr">
        <is>
          <t>UPPVIDINGE</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55382-2024</t>
        </is>
      </c>
      <c r="B338" t="inlineStr">
        <is>
          <t>avverkningsanmälan</t>
        </is>
      </c>
      <c r="C338" t="inlineStr">
        <is>
          <t>Föryngringsavverkning</t>
        </is>
      </c>
      <c r="D338" s="1" t="n">
        <v>45622</v>
      </c>
      <c r="E338" s="1" t="n">
        <v>46217</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s="2" t="inlineStr"/>
    </row>
    <row r="339" ht="15" customHeight="1">
      <c r="A339" t="inlineStr">
        <is>
          <t>A 56047-2023</t>
        </is>
      </c>
      <c r="B339" t="inlineStr">
        <is>
          <t>avverkningsanmälan</t>
        </is>
      </c>
      <c r="C339" t="inlineStr">
        <is>
          <t>Föryngringsavverkning</t>
        </is>
      </c>
      <c r="D339" s="1" t="n">
        <v>45233</v>
      </c>
      <c r="E339" s="1" t="n">
        <v>46217</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26113-2026</t>
        </is>
      </c>
      <c r="B340" t="inlineStr">
        <is>
          <t>avverkningsanmälan</t>
        </is>
      </c>
      <c r="C340" t="inlineStr">
        <is>
          <t>Föryngringsavverkning</t>
        </is>
      </c>
      <c r="D340" s="1" t="n">
        <v>46181</v>
      </c>
      <c r="E340" s="1" t="n">
        <v>46217</v>
      </c>
      <c r="F340" t="inlineStr">
        <is>
          <t>KRONOBERGS LÄN</t>
        </is>
      </c>
      <c r="G340" t="inlineStr">
        <is>
          <t>UPPVIDINGE</t>
        </is>
      </c>
      <c r="I340" t="n">
        <v>6.7</v>
      </c>
      <c r="J340" t="n">
        <v>0</v>
      </c>
      <c r="K340" t="n">
        <v>0</v>
      </c>
      <c r="L340" t="n">
        <v>0</v>
      </c>
      <c r="M340" t="n">
        <v>0</v>
      </c>
      <c r="N340" t="n">
        <v>0</v>
      </c>
      <c r="O340" t="n">
        <v>0</v>
      </c>
      <c r="P340" t="n">
        <v>0</v>
      </c>
      <c r="Q340" t="n">
        <v>0</v>
      </c>
      <c r="R340" t="n">
        <v>0</v>
      </c>
      <c r="S340" t="n">
        <v>0</v>
      </c>
      <c r="T340" t="n">
        <v>0</v>
      </c>
      <c r="U340" s="2" t="inlineStr"/>
    </row>
    <row r="341" ht="15" customHeight="1">
      <c r="A341" t="inlineStr">
        <is>
          <t>A 20343-2026</t>
        </is>
      </c>
      <c r="B341" t="inlineStr">
        <is>
          <t>avverkningsanmälan</t>
        </is>
      </c>
      <c r="C341" t="inlineStr">
        <is>
          <t>Föryngringsavverkning</t>
        </is>
      </c>
      <c r="D341" s="1" t="n">
        <v>46139</v>
      </c>
      <c r="E341" s="1" t="n">
        <v>46217</v>
      </c>
      <c r="F341" t="inlineStr">
        <is>
          <t>KRONOBERGS LÄN</t>
        </is>
      </c>
      <c r="G341" t="inlineStr">
        <is>
          <t>UPPVIDINGE</t>
        </is>
      </c>
      <c r="I341" t="n">
        <v>3</v>
      </c>
      <c r="J341" t="n">
        <v>0</v>
      </c>
      <c r="K341" t="n">
        <v>0</v>
      </c>
      <c r="L341" t="n">
        <v>0</v>
      </c>
      <c r="M341" t="n">
        <v>0</v>
      </c>
      <c r="N341" t="n">
        <v>0</v>
      </c>
      <c r="O341" t="n">
        <v>0</v>
      </c>
      <c r="P341" t="n">
        <v>0</v>
      </c>
      <c r="Q341" t="n">
        <v>0</v>
      </c>
      <c r="R341" t="n">
        <v>0</v>
      </c>
      <c r="S341" t="n">
        <v>0</v>
      </c>
      <c r="T341" t="n">
        <v>0</v>
      </c>
      <c r="U341" s="2" t="inlineStr"/>
    </row>
    <row r="342" ht="15" customHeight="1">
      <c r="A342" t="inlineStr">
        <is>
          <t>A 15294-2025</t>
        </is>
      </c>
      <c r="B342" t="inlineStr">
        <is>
          <t>avverkningsanmälan</t>
        </is>
      </c>
      <c r="C342" t="inlineStr">
        <is>
          <t>Föryngringsavverkning</t>
        </is>
      </c>
      <c r="D342" s="1" t="n">
        <v>45745</v>
      </c>
      <c r="E342" s="1" t="n">
        <v>46217</v>
      </c>
      <c r="F342" t="inlineStr">
        <is>
          <t>KRONOBERGS LÄN</t>
        </is>
      </c>
      <c r="G342" t="inlineStr">
        <is>
          <t>UPPVIDINGE</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16263-2025</t>
        </is>
      </c>
      <c r="B343" t="inlineStr">
        <is>
          <t>avverkningsanmälan</t>
        </is>
      </c>
      <c r="C343" t="inlineStr">
        <is>
          <t>Föryngringsavverkning</t>
        </is>
      </c>
      <c r="D343" s="1" t="n">
        <v>45749</v>
      </c>
      <c r="E343" s="1" t="n">
        <v>46217</v>
      </c>
      <c r="F343" t="inlineStr">
        <is>
          <t>KRONOBERGS LÄN</t>
        </is>
      </c>
      <c r="G343" t="inlineStr">
        <is>
          <t>UPPVIDINGE</t>
        </is>
      </c>
      <c r="H343" t="inlineStr">
        <is>
          <t>Kyrkan</t>
        </is>
      </c>
      <c r="I343" t="n">
        <v>3.2</v>
      </c>
      <c r="J343" t="n">
        <v>0</v>
      </c>
      <c r="K343" t="n">
        <v>0</v>
      </c>
      <c r="L343" t="n">
        <v>0</v>
      </c>
      <c r="M343" t="n">
        <v>0</v>
      </c>
      <c r="N343" t="n">
        <v>0</v>
      </c>
      <c r="O343" t="n">
        <v>0</v>
      </c>
      <c r="P343" t="n">
        <v>0</v>
      </c>
      <c r="Q343" t="n">
        <v>0</v>
      </c>
      <c r="R343" t="n">
        <v>0</v>
      </c>
      <c r="S343" t="n">
        <v>0</v>
      </c>
      <c r="T343" t="n">
        <v>0</v>
      </c>
      <c r="U343" s="2" t="inlineStr"/>
    </row>
    <row r="344" ht="15" customHeight="1">
      <c r="A344" t="inlineStr">
        <is>
          <t>A 33839-2025</t>
        </is>
      </c>
      <c r="B344" t="inlineStr">
        <is>
          <t>avverkningsanmälan</t>
        </is>
      </c>
      <c r="C344" t="inlineStr">
        <is>
          <t>Föryngringsavverkning</t>
        </is>
      </c>
      <c r="D344" s="1" t="n">
        <v>45842</v>
      </c>
      <c r="E344" s="1" t="n">
        <v>46217</v>
      </c>
      <c r="F344" t="inlineStr">
        <is>
          <t>KRONOBERGS LÄN</t>
        </is>
      </c>
      <c r="G344" t="inlineStr">
        <is>
          <t>UPPVIDINGE</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16201-2023</t>
        </is>
      </c>
      <c r="B345" t="inlineStr">
        <is>
          <t>avverkningsanmälan</t>
        </is>
      </c>
      <c r="C345" t="inlineStr">
        <is>
          <t>Föryngringsavverkning</t>
        </is>
      </c>
      <c r="D345" s="1" t="n">
        <v>45028</v>
      </c>
      <c r="E345" s="1" t="n">
        <v>46217</v>
      </c>
      <c r="F345" t="inlineStr">
        <is>
          <t>KRONOBERGS LÄN</t>
        </is>
      </c>
      <c r="G345" t="inlineStr">
        <is>
          <t>UPPVIDINGE</t>
        </is>
      </c>
      <c r="I345" t="n">
        <v>2.8</v>
      </c>
      <c r="J345" t="n">
        <v>0</v>
      </c>
      <c r="K345" t="n">
        <v>0</v>
      </c>
      <c r="L345" t="n">
        <v>0</v>
      </c>
      <c r="M345" t="n">
        <v>0</v>
      </c>
      <c r="N345" t="n">
        <v>0</v>
      </c>
      <c r="O345" t="n">
        <v>0</v>
      </c>
      <c r="P345" t="n">
        <v>0</v>
      </c>
      <c r="Q345" t="n">
        <v>0</v>
      </c>
      <c r="R345" t="n">
        <v>0</v>
      </c>
      <c r="S345" t="n">
        <v>0</v>
      </c>
      <c r="T345" t="n">
        <v>0</v>
      </c>
      <c r="U345" s="2" t="inlineStr"/>
    </row>
    <row r="346" ht="15" customHeight="1">
      <c r="A346" t="inlineStr">
        <is>
          <t>A 57032-2023</t>
        </is>
      </c>
      <c r="B346" t="inlineStr">
        <is>
          <t>avverkningsanmälan</t>
        </is>
      </c>
      <c r="C346" t="inlineStr">
        <is>
          <t>Föryngringsavverkning</t>
        </is>
      </c>
      <c r="D346" s="1" t="n">
        <v>45244</v>
      </c>
      <c r="E346" s="1" t="n">
        <v>46217</v>
      </c>
      <c r="F346" t="inlineStr">
        <is>
          <t>KRONOBERGS LÄN</t>
        </is>
      </c>
      <c r="G346" t="inlineStr">
        <is>
          <t>UPPVIDINGE</t>
        </is>
      </c>
      <c r="I346" t="n">
        <v>3.6</v>
      </c>
      <c r="J346" t="n">
        <v>0</v>
      </c>
      <c r="K346" t="n">
        <v>0</v>
      </c>
      <c r="L346" t="n">
        <v>0</v>
      </c>
      <c r="M346" t="n">
        <v>0</v>
      </c>
      <c r="N346" t="n">
        <v>0</v>
      </c>
      <c r="O346" t="n">
        <v>0</v>
      </c>
      <c r="P346" t="n">
        <v>0</v>
      </c>
      <c r="Q346" t="n">
        <v>0</v>
      </c>
      <c r="R346" t="n">
        <v>0</v>
      </c>
      <c r="S346" t="n">
        <v>0</v>
      </c>
      <c r="T346" t="n">
        <v>0</v>
      </c>
      <c r="U346" s="2" t="inlineStr"/>
    </row>
    <row r="347" ht="15" customHeight="1">
      <c r="A347" t="inlineStr">
        <is>
          <t>A 50520-2025</t>
        </is>
      </c>
      <c r="B347" t="inlineStr">
        <is>
          <t>avverkningsanmälan</t>
        </is>
      </c>
      <c r="C347" t="inlineStr">
        <is>
          <t>Föryngringsavverkning</t>
        </is>
      </c>
      <c r="D347" s="1" t="n">
        <v>45945</v>
      </c>
      <c r="E347" s="1" t="n">
        <v>46217</v>
      </c>
      <c r="F347" t="inlineStr">
        <is>
          <t>KRONOBERGS LÄN</t>
        </is>
      </c>
      <c r="G347" t="inlineStr">
        <is>
          <t>UPPVIDINGE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47858-2023</t>
        </is>
      </c>
      <c r="B348" t="inlineStr">
        <is>
          <t>avverkningsanmälan</t>
        </is>
      </c>
      <c r="C348" t="inlineStr">
        <is>
          <t>Föryngringsavverkning</t>
        </is>
      </c>
      <c r="D348" s="1" t="n">
        <v>45204</v>
      </c>
      <c r="E348" s="1" t="n">
        <v>46217</v>
      </c>
      <c r="F348" t="inlineStr">
        <is>
          <t>KRONOBERGS LÄN</t>
        </is>
      </c>
      <c r="G348" t="inlineStr">
        <is>
          <t>UPPVIDINGE</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54094-2022</t>
        </is>
      </c>
      <c r="B349" t="inlineStr">
        <is>
          <t>avverkningsanmälan</t>
        </is>
      </c>
      <c r="C349" t="inlineStr">
        <is>
          <t>Föryngringsavverkning</t>
        </is>
      </c>
      <c r="D349" s="1" t="n">
        <v>44881</v>
      </c>
      <c r="E349" s="1" t="n">
        <v>46217</v>
      </c>
      <c r="F349" t="inlineStr">
        <is>
          <t>KRONOBERGS LÄN</t>
        </is>
      </c>
      <c r="G349" t="inlineStr">
        <is>
          <t>UPPVIDINGE</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62566-2022</t>
        </is>
      </c>
      <c r="B350" t="inlineStr">
        <is>
          <t>avverkningsanmälan</t>
        </is>
      </c>
      <c r="C350" t="inlineStr">
        <is>
          <t>Föryngringsavverkning</t>
        </is>
      </c>
      <c r="D350" s="1" t="n">
        <v>44924</v>
      </c>
      <c r="E350" s="1" t="n">
        <v>46217</v>
      </c>
      <c r="F350" t="inlineStr">
        <is>
          <t>KRONOBERGS LÄN</t>
        </is>
      </c>
      <c r="G350" t="inlineStr">
        <is>
          <t>UPPVIDINGE</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14500-2023</t>
        </is>
      </c>
      <c r="B351" t="inlineStr">
        <is>
          <t>avverkningsanmälan</t>
        </is>
      </c>
      <c r="C351" t="inlineStr">
        <is>
          <t>Föryngringsavverkning</t>
        </is>
      </c>
      <c r="D351" s="1" t="n">
        <v>45012</v>
      </c>
      <c r="E351" s="1" t="n">
        <v>46217</v>
      </c>
      <c r="F351" t="inlineStr">
        <is>
          <t>KRONOBERGS LÄN</t>
        </is>
      </c>
      <c r="G351" t="inlineStr">
        <is>
          <t>UPPVIDINGE</t>
        </is>
      </c>
      <c r="I351" t="n">
        <v>5.6</v>
      </c>
      <c r="J351" t="n">
        <v>0</v>
      </c>
      <c r="K351" t="n">
        <v>0</v>
      </c>
      <c r="L351" t="n">
        <v>0</v>
      </c>
      <c r="M351" t="n">
        <v>0</v>
      </c>
      <c r="N351" t="n">
        <v>0</v>
      </c>
      <c r="O351" t="n">
        <v>0</v>
      </c>
      <c r="P351" t="n">
        <v>0</v>
      </c>
      <c r="Q351" t="n">
        <v>0</v>
      </c>
      <c r="R351" t="n">
        <v>0</v>
      </c>
      <c r="S351" t="n">
        <v>0</v>
      </c>
      <c r="T351" t="n">
        <v>0</v>
      </c>
      <c r="U351" s="2" t="inlineStr"/>
    </row>
    <row r="352" ht="15" customHeight="1">
      <c r="A352" t="inlineStr">
        <is>
          <t>A 9674-2025</t>
        </is>
      </c>
      <c r="B352" t="inlineStr">
        <is>
          <t>avverkningsanmälan</t>
        </is>
      </c>
      <c r="C352" t="inlineStr">
        <is>
          <t>Föryngringsavverkning</t>
        </is>
      </c>
      <c r="D352" s="1" t="n">
        <v>45716</v>
      </c>
      <c r="E352" s="1" t="n">
        <v>46217</v>
      </c>
      <c r="F352" t="inlineStr">
        <is>
          <t>KRONOBERGS LÄN</t>
        </is>
      </c>
      <c r="G352" t="inlineStr">
        <is>
          <t>UPPVIDINGE</t>
        </is>
      </c>
      <c r="H352" t="inlineStr">
        <is>
          <t>Sveaskog</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52727-2025</t>
        </is>
      </c>
      <c r="B353" t="inlineStr">
        <is>
          <t>avverkningsanmälan</t>
        </is>
      </c>
      <c r="C353" t="inlineStr">
        <is>
          <t>Föryngringsavverkning</t>
        </is>
      </c>
      <c r="D353" s="1" t="n">
        <v>45957</v>
      </c>
      <c r="E353" s="1" t="n">
        <v>46217</v>
      </c>
      <c r="F353" t="inlineStr">
        <is>
          <t>KRONOBERGS LÄN</t>
        </is>
      </c>
      <c r="G353" t="inlineStr">
        <is>
          <t>UPPVIDINGE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45387-2022</t>
        </is>
      </c>
      <c r="B354" t="inlineStr">
        <is>
          <t>avverkningsanmälan</t>
        </is>
      </c>
      <c r="C354" t="inlineStr">
        <is>
          <t>Föryngringsavverkning</t>
        </is>
      </c>
      <c r="D354" s="1" t="n">
        <v>44844</v>
      </c>
      <c r="E354" s="1" t="n">
        <v>46217</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15496-2025</t>
        </is>
      </c>
      <c r="B355" t="inlineStr">
        <is>
          <t>avverkningsanmälan</t>
        </is>
      </c>
      <c r="C355" t="inlineStr">
        <is>
          <t>Föryngringsavverkning</t>
        </is>
      </c>
      <c r="D355" s="1" t="n">
        <v>45747</v>
      </c>
      <c r="E355" s="1" t="n">
        <v>46217</v>
      </c>
      <c r="F355" t="inlineStr">
        <is>
          <t>KRONOBERGS LÄN</t>
        </is>
      </c>
      <c r="G355" t="inlineStr">
        <is>
          <t>UPPVIDINGE</t>
        </is>
      </c>
      <c r="H355" t="inlineStr">
        <is>
          <t>Kommuner</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44069-2025</t>
        </is>
      </c>
      <c r="B356" t="inlineStr">
        <is>
          <t>avverkningsanmälan</t>
        </is>
      </c>
      <c r="C356" t="inlineStr">
        <is>
          <t>Föryngringsavverkning</t>
        </is>
      </c>
      <c r="D356" s="1" t="n">
        <v>45915</v>
      </c>
      <c r="E356" s="1" t="n">
        <v>46217</v>
      </c>
      <c r="F356" t="inlineStr">
        <is>
          <t>KRONOBERGS LÄN</t>
        </is>
      </c>
      <c r="G356" t="inlineStr">
        <is>
          <t>UPPVIDINGE</t>
        </is>
      </c>
      <c r="I356" t="n">
        <v>2.4</v>
      </c>
      <c r="J356" t="n">
        <v>0</v>
      </c>
      <c r="K356" t="n">
        <v>0</v>
      </c>
      <c r="L356" t="n">
        <v>0</v>
      </c>
      <c r="M356" t="n">
        <v>0</v>
      </c>
      <c r="N356" t="n">
        <v>0</v>
      </c>
      <c r="O356" t="n">
        <v>0</v>
      </c>
      <c r="P356" t="n">
        <v>0</v>
      </c>
      <c r="Q356" t="n">
        <v>0</v>
      </c>
      <c r="R356" t="n">
        <v>0</v>
      </c>
      <c r="S356" t="n">
        <v>0</v>
      </c>
      <c r="T356" t="n">
        <v>0</v>
      </c>
      <c r="U356" s="2" t="inlineStr"/>
    </row>
    <row r="357" ht="15" customHeight="1">
      <c r="A357" t="inlineStr">
        <is>
          <t>A 36780-2021</t>
        </is>
      </c>
      <c r="B357" t="inlineStr">
        <is>
          <t>avverkningsanmälan</t>
        </is>
      </c>
      <c r="C357" t="inlineStr">
        <is>
          <t>Föryngringsavverkning</t>
        </is>
      </c>
      <c r="D357" s="1" t="n">
        <v>44392</v>
      </c>
      <c r="E357" s="1" t="n">
        <v>46217</v>
      </c>
      <c r="F357" t="inlineStr">
        <is>
          <t>KRONOBERGS LÄN</t>
        </is>
      </c>
      <c r="G357" t="inlineStr">
        <is>
          <t>UPPVIDINGE</t>
        </is>
      </c>
      <c r="I357" t="n">
        <v>8.4</v>
      </c>
      <c r="J357" t="n">
        <v>0</v>
      </c>
      <c r="K357" t="n">
        <v>0</v>
      </c>
      <c r="L357" t="n">
        <v>0</v>
      </c>
      <c r="M357" t="n">
        <v>0</v>
      </c>
      <c r="N357" t="n">
        <v>0</v>
      </c>
      <c r="O357" t="n">
        <v>0</v>
      </c>
      <c r="P357" t="n">
        <v>0</v>
      </c>
      <c r="Q357" t="n">
        <v>0</v>
      </c>
      <c r="R357" t="n">
        <v>0</v>
      </c>
      <c r="S357" t="n">
        <v>0</v>
      </c>
      <c r="T357" t="n">
        <v>0</v>
      </c>
      <c r="U357" s="2" t="inlineStr"/>
    </row>
    <row r="358" ht="15" customHeight="1">
      <c r="A358" t="inlineStr">
        <is>
          <t>A 7678-2025</t>
        </is>
      </c>
      <c r="B358" t="inlineStr">
        <is>
          <t>avverkningsanmälan</t>
        </is>
      </c>
      <c r="C358" t="inlineStr">
        <is>
          <t>Föryngringsavverkning</t>
        </is>
      </c>
      <c r="D358" s="1" t="n">
        <v>45706</v>
      </c>
      <c r="E358" s="1" t="n">
        <v>46217</v>
      </c>
      <c r="F358" t="inlineStr">
        <is>
          <t>KRONOBERGS LÄN</t>
        </is>
      </c>
      <c r="G358" t="inlineStr">
        <is>
          <t>UPPVIDINGE</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24857-2023</t>
        </is>
      </c>
      <c r="B359" t="inlineStr">
        <is>
          <t>avverkningsanmälan</t>
        </is>
      </c>
      <c r="C359" t="inlineStr">
        <is>
          <t>Föryngringsavverkning</t>
        </is>
      </c>
      <c r="D359" s="1" t="n">
        <v>45085</v>
      </c>
      <c r="E359" s="1" t="n">
        <v>46217</v>
      </c>
      <c r="F359" t="inlineStr">
        <is>
          <t>KRONOBERGS LÄN</t>
        </is>
      </c>
      <c r="G359" t="inlineStr">
        <is>
          <t>UPPVIDINGE</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46693-2024</t>
        </is>
      </c>
      <c r="B360" t="inlineStr">
        <is>
          <t>avverkningsanmälan</t>
        </is>
      </c>
      <c r="C360" t="inlineStr">
        <is>
          <t>Föryngringsavverkning</t>
        </is>
      </c>
      <c r="D360" s="1" t="n">
        <v>45583</v>
      </c>
      <c r="E360" s="1" t="n">
        <v>46217</v>
      </c>
      <c r="F360" t="inlineStr">
        <is>
          <t>KRONOBERGS LÄN</t>
        </is>
      </c>
      <c r="G360" t="inlineStr">
        <is>
          <t>UPPVIDINGE</t>
        </is>
      </c>
      <c r="I360" t="n">
        <v>6</v>
      </c>
      <c r="J360" t="n">
        <v>0</v>
      </c>
      <c r="K360" t="n">
        <v>0</v>
      </c>
      <c r="L360" t="n">
        <v>0</v>
      </c>
      <c r="M360" t="n">
        <v>0</v>
      </c>
      <c r="N360" t="n">
        <v>0</v>
      </c>
      <c r="O360" t="n">
        <v>0</v>
      </c>
      <c r="P360" t="n">
        <v>0</v>
      </c>
      <c r="Q360" t="n">
        <v>0</v>
      </c>
      <c r="R360" t="n">
        <v>0</v>
      </c>
      <c r="S360" t="n">
        <v>0</v>
      </c>
      <c r="T360" t="n">
        <v>0</v>
      </c>
      <c r="U360" s="2" t="inlineStr"/>
    </row>
    <row r="361" ht="15" customHeight="1">
      <c r="A361" t="inlineStr">
        <is>
          <t>A 53759-2025</t>
        </is>
      </c>
      <c r="B361" t="inlineStr">
        <is>
          <t>avverkningsanmälan</t>
        </is>
      </c>
      <c r="C361" t="inlineStr">
        <is>
          <t>Föryngringsavverkning</t>
        </is>
      </c>
      <c r="D361" s="1" t="n">
        <v>45960</v>
      </c>
      <c r="E361" s="1" t="n">
        <v>46217</v>
      </c>
      <c r="F361" t="inlineStr">
        <is>
          <t>KRONOBERGS LÄN</t>
        </is>
      </c>
      <c r="G361" t="inlineStr">
        <is>
          <t>UPPVIDINGE</t>
        </is>
      </c>
      <c r="H361" t="inlineStr">
        <is>
          <t>Sveaskog</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53739-2025</t>
        </is>
      </c>
      <c r="B362" t="inlineStr">
        <is>
          <t>avverkningsanmälan</t>
        </is>
      </c>
      <c r="C362" t="inlineStr">
        <is>
          <t>Föryngringsavverkning</t>
        </is>
      </c>
      <c r="D362" s="1" t="n">
        <v>45960</v>
      </c>
      <c r="E362" s="1" t="n">
        <v>46217</v>
      </c>
      <c r="F362" t="inlineStr">
        <is>
          <t>KRONOBERGS LÄN</t>
        </is>
      </c>
      <c r="G362" t="inlineStr">
        <is>
          <t>UPPVIDINGE</t>
        </is>
      </c>
      <c r="H362" t="inlineStr">
        <is>
          <t>Sveaskog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54366-2022</t>
        </is>
      </c>
      <c r="B363" t="inlineStr">
        <is>
          <t>avverkningsanmälan</t>
        </is>
      </c>
      <c r="C363" t="inlineStr">
        <is>
          <t>Föryngringsavverkning</t>
        </is>
      </c>
      <c r="D363" s="1" t="n">
        <v>44882</v>
      </c>
      <c r="E363" s="1" t="n">
        <v>46217</v>
      </c>
      <c r="F363" t="inlineStr">
        <is>
          <t>KRONOBERGS LÄN</t>
        </is>
      </c>
      <c r="G363" t="inlineStr">
        <is>
          <t>UPPVIDINGE</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7504-2023</t>
        </is>
      </c>
      <c r="B364" t="inlineStr">
        <is>
          <t>avverkningsanmälan</t>
        </is>
      </c>
      <c r="C364" t="inlineStr">
        <is>
          <t>Föryngringsavverkning</t>
        </is>
      </c>
      <c r="D364" s="1" t="n">
        <v>44971</v>
      </c>
      <c r="E364" s="1" t="n">
        <v>46217</v>
      </c>
      <c r="F364" t="inlineStr">
        <is>
          <t>KRONOBERGS LÄN</t>
        </is>
      </c>
      <c r="G364" t="inlineStr">
        <is>
          <t>UPPVIDINGE</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7402-2025</t>
        </is>
      </c>
      <c r="B365" t="inlineStr">
        <is>
          <t>avverkningsanmälan</t>
        </is>
      </c>
      <c r="C365" t="inlineStr">
        <is>
          <t>Föryngringsavverkning</t>
        </is>
      </c>
      <c r="D365" s="1" t="n">
        <v>45705</v>
      </c>
      <c r="E365" s="1" t="n">
        <v>46217</v>
      </c>
      <c r="F365" t="inlineStr">
        <is>
          <t>KRONOBERGS LÄN</t>
        </is>
      </c>
      <c r="G365" t="inlineStr">
        <is>
          <t>UPPVIDINGE</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24457-2023</t>
        </is>
      </c>
      <c r="B366" t="inlineStr">
        <is>
          <t>avverkningsanmälan</t>
        </is>
      </c>
      <c r="C366" t="inlineStr">
        <is>
          <t>Föryngringsavverkning</t>
        </is>
      </c>
      <c r="D366" s="1" t="n">
        <v>45082</v>
      </c>
      <c r="E366" s="1" t="n">
        <v>46217</v>
      </c>
      <c r="F366" t="inlineStr">
        <is>
          <t>KRONOBERGS LÄN</t>
        </is>
      </c>
      <c r="G366" t="inlineStr">
        <is>
          <t>UPPVIDINGE</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63376-2025</t>
        </is>
      </c>
      <c r="B367" t="inlineStr">
        <is>
          <t>avverkningsanmälan</t>
        </is>
      </c>
      <c r="C367" t="inlineStr">
        <is>
          <t>Avverkning för att bevara och utveckla /försöksver</t>
        </is>
      </c>
      <c r="D367" s="1" t="n">
        <v>46009</v>
      </c>
      <c r="E367" s="1" t="n">
        <v>46217</v>
      </c>
      <c r="F367" t="inlineStr">
        <is>
          <t>KRONOBERGS LÄN</t>
        </is>
      </c>
      <c r="G367" t="inlineStr">
        <is>
          <t>UPPVIDINGE</t>
        </is>
      </c>
      <c r="H367" t="inlineStr">
        <is>
          <t>Kyrkan</t>
        </is>
      </c>
      <c r="I367" t="n">
        <v>13.8</v>
      </c>
      <c r="J367" t="n">
        <v>0</v>
      </c>
      <c r="K367" t="n">
        <v>0</v>
      </c>
      <c r="L367" t="n">
        <v>0</v>
      </c>
      <c r="M367" t="n">
        <v>0</v>
      </c>
      <c r="N367" t="n">
        <v>0</v>
      </c>
      <c r="O367" t="n">
        <v>0</v>
      </c>
      <c r="P367" t="n">
        <v>0</v>
      </c>
      <c r="Q367" t="n">
        <v>0</v>
      </c>
      <c r="R367" t="n">
        <v>0</v>
      </c>
      <c r="S367" t="n">
        <v>0</v>
      </c>
      <c r="T367" t="n">
        <v>0</v>
      </c>
      <c r="U367" s="2" t="inlineStr"/>
    </row>
    <row r="368" ht="15" customHeight="1">
      <c r="A368" t="inlineStr">
        <is>
          <t>A 55083-2025</t>
        </is>
      </c>
      <c r="B368" t="inlineStr">
        <is>
          <t>avverkningsanmälan</t>
        </is>
      </c>
      <c r="C368" t="inlineStr">
        <is>
          <t>Föryngringsavverkning</t>
        </is>
      </c>
      <c r="D368" s="1" t="n">
        <v>45968</v>
      </c>
      <c r="E368" s="1" t="n">
        <v>46217</v>
      </c>
      <c r="F368" t="inlineStr">
        <is>
          <t>KRONOBERGS LÄN</t>
        </is>
      </c>
      <c r="G368" t="inlineStr">
        <is>
          <t>UPPVIDINGE</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25446-2025</t>
        </is>
      </c>
      <c r="B369" t="inlineStr">
        <is>
          <t>avverkningsanmälan</t>
        </is>
      </c>
      <c r="C369" t="inlineStr">
        <is>
          <t>Föryngringsavverkning</t>
        </is>
      </c>
      <c r="D369" s="1" t="n">
        <v>45801</v>
      </c>
      <c r="E369" s="1" t="n">
        <v>46217</v>
      </c>
      <c r="F369" t="inlineStr">
        <is>
          <t>KRONOBERGS LÄN</t>
        </is>
      </c>
      <c r="G369" t="inlineStr">
        <is>
          <t>UPPVIDINGE</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55689-2025</t>
        </is>
      </c>
      <c r="B370" t="inlineStr">
        <is>
          <t>avverkningsanmälan</t>
        </is>
      </c>
      <c r="C370" t="inlineStr">
        <is>
          <t>Föryngringsavverkning</t>
        </is>
      </c>
      <c r="D370" s="1" t="n">
        <v>45972</v>
      </c>
      <c r="E370" s="1" t="n">
        <v>46217</v>
      </c>
      <c r="F370" t="inlineStr">
        <is>
          <t>KRONOBERGS LÄN</t>
        </is>
      </c>
      <c r="G370" t="inlineStr">
        <is>
          <t>UPPVIDINGE</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55685-2025</t>
        </is>
      </c>
      <c r="B371" t="inlineStr">
        <is>
          <t>avverkningsanmälan</t>
        </is>
      </c>
      <c r="C371" t="inlineStr">
        <is>
          <t>Föryngringsavverkning</t>
        </is>
      </c>
      <c r="D371" s="1" t="n">
        <v>45972</v>
      </c>
      <c r="E371" s="1" t="n">
        <v>46217</v>
      </c>
      <c r="F371" t="inlineStr">
        <is>
          <t>KRONOBERGS LÄN</t>
        </is>
      </c>
      <c r="G371" t="inlineStr">
        <is>
          <t>UPPVIDINGE</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43497-2023</t>
        </is>
      </c>
      <c r="B372" t="inlineStr">
        <is>
          <t>avverkningsanmälan</t>
        </is>
      </c>
      <c r="C372" t="inlineStr">
        <is>
          <t>Föryngringsavverkning</t>
        </is>
      </c>
      <c r="D372" s="1" t="n">
        <v>45181</v>
      </c>
      <c r="E372" s="1" t="n">
        <v>46217</v>
      </c>
      <c r="F372" t="inlineStr">
        <is>
          <t>KRONOBERGS LÄN</t>
        </is>
      </c>
      <c r="G372" t="inlineStr">
        <is>
          <t>UPPVIDINGE</t>
        </is>
      </c>
      <c r="H372" t="inlineStr">
        <is>
          <t>Kyrkan</t>
        </is>
      </c>
      <c r="I372" t="n">
        <v>6.1</v>
      </c>
      <c r="J372" t="n">
        <v>0</v>
      </c>
      <c r="K372" t="n">
        <v>0</v>
      </c>
      <c r="L372" t="n">
        <v>0</v>
      </c>
      <c r="M372" t="n">
        <v>0</v>
      </c>
      <c r="N372" t="n">
        <v>0</v>
      </c>
      <c r="O372" t="n">
        <v>0</v>
      </c>
      <c r="P372" t="n">
        <v>0</v>
      </c>
      <c r="Q372" t="n">
        <v>0</v>
      </c>
      <c r="R372" t="n">
        <v>0</v>
      </c>
      <c r="S372" t="n">
        <v>0</v>
      </c>
      <c r="T372" t="n">
        <v>0</v>
      </c>
      <c r="U372" s="2" t="inlineStr"/>
    </row>
    <row r="373" ht="15" customHeight="1">
      <c r="A373" t="inlineStr">
        <is>
          <t>A 16351-2024</t>
        </is>
      </c>
      <c r="B373" t="inlineStr">
        <is>
          <t>avverkningsanmälan</t>
        </is>
      </c>
      <c r="C373" t="inlineStr">
        <is>
          <t>Föryngringsavverkning</t>
        </is>
      </c>
      <c r="D373" s="1" t="n">
        <v>45407</v>
      </c>
      <c r="E373" s="1" t="n">
        <v>46217</v>
      </c>
      <c r="F373" t="inlineStr">
        <is>
          <t>KRONOBERGS LÄN</t>
        </is>
      </c>
      <c r="G373" t="inlineStr">
        <is>
          <t>UPPVIDINGE</t>
        </is>
      </c>
      <c r="I373" t="n">
        <v>4.6</v>
      </c>
      <c r="J373" t="n">
        <v>0</v>
      </c>
      <c r="K373" t="n">
        <v>0</v>
      </c>
      <c r="L373" t="n">
        <v>0</v>
      </c>
      <c r="M373" t="n">
        <v>0</v>
      </c>
      <c r="N373" t="n">
        <v>0</v>
      </c>
      <c r="O373" t="n">
        <v>0</v>
      </c>
      <c r="P373" t="n">
        <v>0</v>
      </c>
      <c r="Q373" t="n">
        <v>0</v>
      </c>
      <c r="R373" t="n">
        <v>0</v>
      </c>
      <c r="S373" t="n">
        <v>0</v>
      </c>
      <c r="T373" t="n">
        <v>0</v>
      </c>
      <c r="U373" s="2" t="inlineStr"/>
    </row>
    <row r="374" ht="15" customHeight="1">
      <c r="A374" t="inlineStr">
        <is>
          <t>A 12950-2024</t>
        </is>
      </c>
      <c r="B374" t="inlineStr">
        <is>
          <t>avverkningsanmälan</t>
        </is>
      </c>
      <c r="C374" t="inlineStr">
        <is>
          <t>Föryngringsavverkning</t>
        </is>
      </c>
      <c r="D374" s="1" t="n">
        <v>45385</v>
      </c>
      <c r="E374" s="1" t="n">
        <v>46217</v>
      </c>
      <c r="F374" t="inlineStr">
        <is>
          <t>KRONOBERGS LÄN</t>
        </is>
      </c>
      <c r="G374" t="inlineStr">
        <is>
          <t>UPPVIDINGE</t>
        </is>
      </c>
      <c r="H374" t="inlineStr">
        <is>
          <t>Sveaskog</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1481-2023</t>
        </is>
      </c>
      <c r="B375" t="inlineStr">
        <is>
          <t>avverkningsanmälan</t>
        </is>
      </c>
      <c r="C375" t="inlineStr">
        <is>
          <t>Föryngringsavverkning</t>
        </is>
      </c>
      <c r="D375" s="1" t="n">
        <v>44937</v>
      </c>
      <c r="E375" s="1" t="n">
        <v>46217</v>
      </c>
      <c r="F375" t="inlineStr">
        <is>
          <t>KRONOBERGS LÄN</t>
        </is>
      </c>
      <c r="G375" t="inlineStr">
        <is>
          <t>UPPVIDINGE</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1482-2023</t>
        </is>
      </c>
      <c r="B376" t="inlineStr">
        <is>
          <t>avverkningsanmälan</t>
        </is>
      </c>
      <c r="C376" t="inlineStr">
        <is>
          <t>Föryngringsavverkning</t>
        </is>
      </c>
      <c r="D376" s="1" t="n">
        <v>44937</v>
      </c>
      <c r="E376" s="1" t="n">
        <v>46217</v>
      </c>
      <c r="F376" t="inlineStr">
        <is>
          <t>KRONOBERGS LÄN</t>
        </is>
      </c>
      <c r="G376" t="inlineStr">
        <is>
          <t>UPPVIDINGE</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26520-2026</t>
        </is>
      </c>
      <c r="B377" t="inlineStr">
        <is>
          <t>avverkningsanmälan</t>
        </is>
      </c>
      <c r="C377" t="inlineStr">
        <is>
          <t>Föryngringsavverkning</t>
        </is>
      </c>
      <c r="D377" s="1" t="n">
        <v>46183</v>
      </c>
      <c r="E377" s="1" t="n">
        <v>46217</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55848-2025</t>
        </is>
      </c>
      <c r="B378" t="inlineStr">
        <is>
          <t>avverkningsanmälan</t>
        </is>
      </c>
      <c r="C378" t="inlineStr">
        <is>
          <t>Föryngringsavverkning</t>
        </is>
      </c>
      <c r="D378" s="1" t="n">
        <v>45973</v>
      </c>
      <c r="E378" s="1" t="n">
        <v>46217</v>
      </c>
      <c r="F378" t="inlineStr">
        <is>
          <t>KRONOBERGS LÄN</t>
        </is>
      </c>
      <c r="G378" t="inlineStr">
        <is>
          <t>UPPVIDINGE</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61820-2022</t>
        </is>
      </c>
      <c r="B379" t="inlineStr">
        <is>
          <t>avverkningsanmälan</t>
        </is>
      </c>
      <c r="C379" t="inlineStr">
        <is>
          <t>Föryngringsavverkning</t>
        </is>
      </c>
      <c r="D379" s="1" t="n">
        <v>44917</v>
      </c>
      <c r="E379" s="1" t="n">
        <v>46217</v>
      </c>
      <c r="F379" t="inlineStr">
        <is>
          <t>KRONOBERGS LÄN</t>
        </is>
      </c>
      <c r="G379" t="inlineStr">
        <is>
          <t>UPPVIDINGE</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38860-2024</t>
        </is>
      </c>
      <c r="B380" t="inlineStr">
        <is>
          <t>avverkningsanmälan</t>
        </is>
      </c>
      <c r="C380" t="inlineStr">
        <is>
          <t>Avverkning för annat ändamål</t>
        </is>
      </c>
      <c r="D380" s="1" t="n">
        <v>45547</v>
      </c>
      <c r="E380" s="1" t="n">
        <v>46217</v>
      </c>
      <c r="F380" t="inlineStr">
        <is>
          <t>KRONOBERGS LÄN</t>
        </is>
      </c>
      <c r="G380" t="inlineStr">
        <is>
          <t>UPPVIDINGE</t>
        </is>
      </c>
      <c r="I380" t="n">
        <v>0.3</v>
      </c>
      <c r="J380" t="n">
        <v>0</v>
      </c>
      <c r="K380" t="n">
        <v>0</v>
      </c>
      <c r="L380" t="n">
        <v>0</v>
      </c>
      <c r="M380" t="n">
        <v>0</v>
      </c>
      <c r="N380" t="n">
        <v>0</v>
      </c>
      <c r="O380" t="n">
        <v>0</v>
      </c>
      <c r="P380" t="n">
        <v>0</v>
      </c>
      <c r="Q380" t="n">
        <v>0</v>
      </c>
      <c r="R380" t="n">
        <v>0</v>
      </c>
      <c r="S380" t="n">
        <v>0</v>
      </c>
      <c r="T380" t="n">
        <v>0</v>
      </c>
      <c r="U380" s="2" t="inlineStr"/>
    </row>
    <row r="381" ht="15" customHeight="1">
      <c r="A381" t="inlineStr">
        <is>
          <t>A 38859-2024</t>
        </is>
      </c>
      <c r="B381" t="inlineStr">
        <is>
          <t>avverkningsanmälan</t>
        </is>
      </c>
      <c r="C381" t="inlineStr">
        <is>
          <t>Avverkning för annat ändamål</t>
        </is>
      </c>
      <c r="D381" s="1" t="n">
        <v>45547</v>
      </c>
      <c r="E381" s="1" t="n">
        <v>46217</v>
      </c>
      <c r="F381" t="inlineStr">
        <is>
          <t>KRONOBERGS LÄN</t>
        </is>
      </c>
      <c r="G381" t="inlineStr">
        <is>
          <t>UPPVIDINGE</t>
        </is>
      </c>
      <c r="I381" t="n">
        <v>0.2</v>
      </c>
      <c r="J381" t="n">
        <v>0</v>
      </c>
      <c r="K381" t="n">
        <v>0</v>
      </c>
      <c r="L381" t="n">
        <v>0</v>
      </c>
      <c r="M381" t="n">
        <v>0</v>
      </c>
      <c r="N381" t="n">
        <v>0</v>
      </c>
      <c r="O381" t="n">
        <v>0</v>
      </c>
      <c r="P381" t="n">
        <v>0</v>
      </c>
      <c r="Q381" t="n">
        <v>0</v>
      </c>
      <c r="R381" t="n">
        <v>0</v>
      </c>
      <c r="S381" t="n">
        <v>0</v>
      </c>
      <c r="T381" t="n">
        <v>0</v>
      </c>
      <c r="U381" s="2" t="inlineStr"/>
    </row>
    <row r="382" ht="15" customHeight="1">
      <c r="A382" t="inlineStr">
        <is>
          <t>A 43988-2022</t>
        </is>
      </c>
      <c r="B382" t="inlineStr">
        <is>
          <t>avverkningsanmälan</t>
        </is>
      </c>
      <c r="C382" t="inlineStr">
        <is>
          <t>Föryngringsavverkning</t>
        </is>
      </c>
      <c r="D382" s="1" t="n">
        <v>44838</v>
      </c>
      <c r="E382" s="1" t="n">
        <v>46217</v>
      </c>
      <c r="F382" t="inlineStr">
        <is>
          <t>KRONOBERGS LÄN</t>
        </is>
      </c>
      <c r="G382" t="inlineStr">
        <is>
          <t>UPPVIDINGE</t>
        </is>
      </c>
      <c r="I382" t="n">
        <v>12.2</v>
      </c>
      <c r="J382" t="n">
        <v>0</v>
      </c>
      <c r="K382" t="n">
        <v>0</v>
      </c>
      <c r="L382" t="n">
        <v>0</v>
      </c>
      <c r="M382" t="n">
        <v>0</v>
      </c>
      <c r="N382" t="n">
        <v>0</v>
      </c>
      <c r="O382" t="n">
        <v>0</v>
      </c>
      <c r="P382" t="n">
        <v>0</v>
      </c>
      <c r="Q382" t="n">
        <v>0</v>
      </c>
      <c r="R382" t="n">
        <v>0</v>
      </c>
      <c r="S382" t="n">
        <v>0</v>
      </c>
      <c r="T382" t="n">
        <v>0</v>
      </c>
      <c r="U382" s="2" t="inlineStr"/>
    </row>
    <row r="383" ht="15" customHeight="1">
      <c r="A383" t="inlineStr">
        <is>
          <t>A 26683-2023</t>
        </is>
      </c>
      <c r="B383" t="inlineStr">
        <is>
          <t>avverkningsanmälan</t>
        </is>
      </c>
      <c r="C383" t="inlineStr">
        <is>
          <t>Föryngringsavverkning</t>
        </is>
      </c>
      <c r="D383" s="1" t="n">
        <v>45093</v>
      </c>
      <c r="E383" s="1" t="n">
        <v>46217</v>
      </c>
      <c r="F383" t="inlineStr">
        <is>
          <t>KRONOBERGS LÄN</t>
        </is>
      </c>
      <c r="G383" t="inlineStr">
        <is>
          <t>UPPVIDINGE</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49589-2024</t>
        </is>
      </c>
      <c r="B384" t="inlineStr">
        <is>
          <t>avverkningsanmälan</t>
        </is>
      </c>
      <c r="C384" t="inlineStr">
        <is>
          <t>Föryngringsavverkning</t>
        </is>
      </c>
      <c r="D384" s="1" t="n">
        <v>45596</v>
      </c>
      <c r="E384" s="1" t="n">
        <v>46217</v>
      </c>
      <c r="F384" t="inlineStr">
        <is>
          <t>KRONOBERGS LÄN</t>
        </is>
      </c>
      <c r="G384" t="inlineStr">
        <is>
          <t>UPPVIDINGE</t>
        </is>
      </c>
      <c r="I384" t="n">
        <v>0.4</v>
      </c>
      <c r="J384" t="n">
        <v>0</v>
      </c>
      <c r="K384" t="n">
        <v>0</v>
      </c>
      <c r="L384" t="n">
        <v>0</v>
      </c>
      <c r="M384" t="n">
        <v>0</v>
      </c>
      <c r="N384" t="n">
        <v>0</v>
      </c>
      <c r="O384" t="n">
        <v>0</v>
      </c>
      <c r="P384" t="n">
        <v>0</v>
      </c>
      <c r="Q384" t="n">
        <v>0</v>
      </c>
      <c r="R384" t="n">
        <v>0</v>
      </c>
      <c r="S384" t="n">
        <v>0</v>
      </c>
      <c r="T384" t="n">
        <v>0</v>
      </c>
      <c r="U384" s="2" t="inlineStr"/>
    </row>
    <row r="385" ht="15" customHeight="1">
      <c r="A385" t="inlineStr">
        <is>
          <t>A 9685-2025</t>
        </is>
      </c>
      <c r="B385" t="inlineStr">
        <is>
          <t>avverkningsanmälan</t>
        </is>
      </c>
      <c r="C385" t="inlineStr">
        <is>
          <t>Föryngringsavverkning</t>
        </is>
      </c>
      <c r="D385" s="1" t="n">
        <v>45716</v>
      </c>
      <c r="E385" s="1" t="n">
        <v>46217</v>
      </c>
      <c r="F385" t="inlineStr">
        <is>
          <t>KRONOBERGS LÄN</t>
        </is>
      </c>
      <c r="G385" t="inlineStr">
        <is>
          <t>UPPVIDINGE</t>
        </is>
      </c>
      <c r="H385" t="inlineStr">
        <is>
          <t>Sveaskog</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57800-2025</t>
        </is>
      </c>
      <c r="B386" t="inlineStr">
        <is>
          <t>avverkningsanmälan</t>
        </is>
      </c>
      <c r="C386" t="inlineStr">
        <is>
          <t>Föryngringsavverkning</t>
        </is>
      </c>
      <c r="D386" s="1" t="n">
        <v>45981</v>
      </c>
      <c r="E386" s="1" t="n">
        <v>46217</v>
      </c>
      <c r="F386" t="inlineStr">
        <is>
          <t>KRONOBERGS LÄN</t>
        </is>
      </c>
      <c r="G386" t="inlineStr">
        <is>
          <t>UPPVIDINGE</t>
        </is>
      </c>
      <c r="H386" t="inlineStr">
        <is>
          <t>Sveaskog</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48237-2024</t>
        </is>
      </c>
      <c r="B387" t="inlineStr">
        <is>
          <t>avverkningsanmälan</t>
        </is>
      </c>
      <c r="C387" t="inlineStr">
        <is>
          <t>Föryngringsavverkning</t>
        </is>
      </c>
      <c r="D387" s="1" t="n">
        <v>45590</v>
      </c>
      <c r="E387" s="1" t="n">
        <v>46217</v>
      </c>
      <c r="F387" t="inlineStr">
        <is>
          <t>KRONOBERGS LÄN</t>
        </is>
      </c>
      <c r="G387" t="inlineStr">
        <is>
          <t>UPPVIDINGE</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57807-2025</t>
        </is>
      </c>
      <c r="B388" t="inlineStr">
        <is>
          <t>avverkningsanmälan</t>
        </is>
      </c>
      <c r="C388" t="inlineStr">
        <is>
          <t>Föryngringsavverkning</t>
        </is>
      </c>
      <c r="D388" s="1" t="n">
        <v>45981</v>
      </c>
      <c r="E388" s="1" t="n">
        <v>46217</v>
      </c>
      <c r="F388" t="inlineStr">
        <is>
          <t>KRONOBERGS LÄN</t>
        </is>
      </c>
      <c r="G388" t="inlineStr">
        <is>
          <t>UPPVIDINGE</t>
        </is>
      </c>
      <c r="H388" t="inlineStr">
        <is>
          <t>Sveaskog</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10700-2024</t>
        </is>
      </c>
      <c r="B389" t="inlineStr">
        <is>
          <t>avverkningsanmälan</t>
        </is>
      </c>
      <c r="C389" t="inlineStr">
        <is>
          <t>Föryngringsavverkning</t>
        </is>
      </c>
      <c r="D389" s="1" t="n">
        <v>45369</v>
      </c>
      <c r="E389" s="1" t="n">
        <v>46217</v>
      </c>
      <c r="F389" t="inlineStr">
        <is>
          <t>KRONOBERGS LÄN</t>
        </is>
      </c>
      <c r="G389" t="inlineStr">
        <is>
          <t>UPPVIDINGE</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57805-2025</t>
        </is>
      </c>
      <c r="B390" t="inlineStr">
        <is>
          <t>avverkningsanmälan</t>
        </is>
      </c>
      <c r="C390" t="inlineStr">
        <is>
          <t>Föryngringsavverkning</t>
        </is>
      </c>
      <c r="D390" s="1" t="n">
        <v>45981</v>
      </c>
      <c r="E390" s="1" t="n">
        <v>46217</v>
      </c>
      <c r="F390" t="inlineStr">
        <is>
          <t>KRONOBERGS LÄN</t>
        </is>
      </c>
      <c r="G390" t="inlineStr">
        <is>
          <t>UPPVIDINGE</t>
        </is>
      </c>
      <c r="H390" t="inlineStr">
        <is>
          <t>Sveaskog</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58472-2025</t>
        </is>
      </c>
      <c r="B391" t="inlineStr">
        <is>
          <t>avverkningsanmälan</t>
        </is>
      </c>
      <c r="C391" t="inlineStr">
        <is>
          <t>Föryngringsavverkning</t>
        </is>
      </c>
      <c r="D391" s="1" t="n">
        <v>45985</v>
      </c>
      <c r="E391" s="1" t="n">
        <v>46217</v>
      </c>
      <c r="F391" t="inlineStr">
        <is>
          <t>KRONOBERGS LÄN</t>
        </is>
      </c>
      <c r="G391" t="inlineStr">
        <is>
          <t>UPPVIDINGE</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58245-2025</t>
        </is>
      </c>
      <c r="B392" t="inlineStr">
        <is>
          <t>avverkningsanmälan</t>
        </is>
      </c>
      <c r="C392" t="inlineStr">
        <is>
          <t>Föryngringsavverkning</t>
        </is>
      </c>
      <c r="D392" s="1" t="n">
        <v>45985</v>
      </c>
      <c r="E392" s="1" t="n">
        <v>46217</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26936-2026</t>
        </is>
      </c>
      <c r="B393" t="inlineStr">
        <is>
          <t>avverkningsanmälan</t>
        </is>
      </c>
      <c r="C393" t="inlineStr">
        <is>
          <t>Föryngringsavverkning</t>
        </is>
      </c>
      <c r="D393" s="1" t="n">
        <v>46185</v>
      </c>
      <c r="E393" s="1" t="n">
        <v>46217</v>
      </c>
      <c r="F393" t="inlineStr">
        <is>
          <t>KRONOBERGS LÄN</t>
        </is>
      </c>
      <c r="G393" t="inlineStr">
        <is>
          <t>UPPVIDINGE</t>
        </is>
      </c>
      <c r="I393" t="n">
        <v>6.3</v>
      </c>
      <c r="J393" t="n">
        <v>0</v>
      </c>
      <c r="K393" t="n">
        <v>0</v>
      </c>
      <c r="L393" t="n">
        <v>0</v>
      </c>
      <c r="M393" t="n">
        <v>0</v>
      </c>
      <c r="N393" t="n">
        <v>0</v>
      </c>
      <c r="O393" t="n">
        <v>0</v>
      </c>
      <c r="P393" t="n">
        <v>0</v>
      </c>
      <c r="Q393" t="n">
        <v>0</v>
      </c>
      <c r="R393" t="n">
        <v>0</v>
      </c>
      <c r="S393" t="n">
        <v>0</v>
      </c>
      <c r="T393" t="n">
        <v>0</v>
      </c>
      <c r="U393" s="2" t="inlineStr"/>
    </row>
    <row r="394" ht="15" customHeight="1">
      <c r="A394" t="inlineStr">
        <is>
          <t>A 67620-2021</t>
        </is>
      </c>
      <c r="B394" t="inlineStr">
        <is>
          <t>avverkningsanmälan</t>
        </is>
      </c>
      <c r="C394" t="inlineStr">
        <is>
          <t>Föryngringsavverkning</t>
        </is>
      </c>
      <c r="D394" s="1" t="n">
        <v>44524</v>
      </c>
      <c r="E394" s="1" t="n">
        <v>46217</v>
      </c>
      <c r="F394" t="inlineStr">
        <is>
          <t>KRONOBERGS LÄN</t>
        </is>
      </c>
      <c r="G394" t="inlineStr">
        <is>
          <t>UPPVIDINGE</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27024-2026</t>
        </is>
      </c>
      <c r="B395" t="inlineStr">
        <is>
          <t>avverkningsanmälan</t>
        </is>
      </c>
      <c r="C395" t="inlineStr">
        <is>
          <t>Föryngringsavverkning</t>
        </is>
      </c>
      <c r="D395" s="1" t="n">
        <v>46185</v>
      </c>
      <c r="E395" s="1" t="n">
        <v>46217</v>
      </c>
      <c r="F395" t="inlineStr">
        <is>
          <t>KRONOBERGS LÄN</t>
        </is>
      </c>
      <c r="G395" t="inlineStr">
        <is>
          <t>UPPVIDINGE</t>
        </is>
      </c>
      <c r="H395" t="inlineStr">
        <is>
          <t>Sveaskog</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26944-2026</t>
        </is>
      </c>
      <c r="B396" t="inlineStr">
        <is>
          <t>avverkningsanmälan</t>
        </is>
      </c>
      <c r="C396" t="inlineStr">
        <is>
          <t>Föryngringsavverkning</t>
        </is>
      </c>
      <c r="D396" s="1" t="n">
        <v>46185</v>
      </c>
      <c r="E396" s="1" t="n">
        <v>46217</v>
      </c>
      <c r="F396" t="inlineStr">
        <is>
          <t>KRONOBERGS LÄN</t>
        </is>
      </c>
      <c r="G396" t="inlineStr">
        <is>
          <t>UPPVIDINGE</t>
        </is>
      </c>
      <c r="I396" t="n">
        <v>10.9</v>
      </c>
      <c r="J396" t="n">
        <v>0</v>
      </c>
      <c r="K396" t="n">
        <v>0</v>
      </c>
      <c r="L396" t="n">
        <v>0</v>
      </c>
      <c r="M396" t="n">
        <v>0</v>
      </c>
      <c r="N396" t="n">
        <v>0</v>
      </c>
      <c r="O396" t="n">
        <v>0</v>
      </c>
      <c r="P396" t="n">
        <v>0</v>
      </c>
      <c r="Q396" t="n">
        <v>0</v>
      </c>
      <c r="R396" t="n">
        <v>0</v>
      </c>
      <c r="S396" t="n">
        <v>0</v>
      </c>
      <c r="T396" t="n">
        <v>0</v>
      </c>
      <c r="U396" s="2" t="inlineStr"/>
    </row>
    <row r="397" ht="15" customHeight="1">
      <c r="A397" t="inlineStr">
        <is>
          <t>A 26681-2026</t>
        </is>
      </c>
      <c r="B397" t="inlineStr">
        <is>
          <t>avverkningsanmälan</t>
        </is>
      </c>
      <c r="C397" t="inlineStr">
        <is>
          <t>Föryngringsavverkning</t>
        </is>
      </c>
      <c r="D397" s="1" t="n">
        <v>46184</v>
      </c>
      <c r="E397" s="1" t="n">
        <v>46217</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26887-2026</t>
        </is>
      </c>
      <c r="B398" t="inlineStr">
        <is>
          <t>avverkningsanmälan</t>
        </is>
      </c>
      <c r="C398" t="inlineStr">
        <is>
          <t>Föryngringsavverkning</t>
        </is>
      </c>
      <c r="D398" s="1" t="n">
        <v>46185</v>
      </c>
      <c r="E398" s="1" t="n">
        <v>46217</v>
      </c>
      <c r="F398" t="inlineStr">
        <is>
          <t>KRONOBERGS LÄN</t>
        </is>
      </c>
      <c r="G398" t="inlineStr">
        <is>
          <t>UPPVIDINGE</t>
        </is>
      </c>
      <c r="I398" t="n">
        <v>9.1</v>
      </c>
      <c r="J398" t="n">
        <v>0</v>
      </c>
      <c r="K398" t="n">
        <v>0</v>
      </c>
      <c r="L398" t="n">
        <v>0</v>
      </c>
      <c r="M398" t="n">
        <v>0</v>
      </c>
      <c r="N398" t="n">
        <v>0</v>
      </c>
      <c r="O398" t="n">
        <v>0</v>
      </c>
      <c r="P398" t="n">
        <v>0</v>
      </c>
      <c r="Q398" t="n">
        <v>0</v>
      </c>
      <c r="R398" t="n">
        <v>0</v>
      </c>
      <c r="S398" t="n">
        <v>0</v>
      </c>
      <c r="T398" t="n">
        <v>0</v>
      </c>
      <c r="U398" s="2" t="inlineStr"/>
    </row>
    <row r="399" ht="15" customHeight="1">
      <c r="A399" t="inlineStr">
        <is>
          <t>A 20278-2026</t>
        </is>
      </c>
      <c r="B399" t="inlineStr">
        <is>
          <t>avverkningsanmälan</t>
        </is>
      </c>
      <c r="C399" t="inlineStr">
        <is>
          <t>Föryngringsavverkning</t>
        </is>
      </c>
      <c r="D399" s="1" t="n">
        <v>46139</v>
      </c>
      <c r="E399" s="1" t="n">
        <v>46217</v>
      </c>
      <c r="F399" t="inlineStr">
        <is>
          <t>KRONOBERGS LÄN</t>
        </is>
      </c>
      <c r="G399" t="inlineStr">
        <is>
          <t>UPPVIDINGE</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36193-2023</t>
        </is>
      </c>
      <c r="B400" t="inlineStr">
        <is>
          <t>avverkningsanmälan</t>
        </is>
      </c>
      <c r="C400" t="inlineStr">
        <is>
          <t>Föryngringsavverkning</t>
        </is>
      </c>
      <c r="D400" s="1" t="n">
        <v>45149</v>
      </c>
      <c r="E400" s="1" t="n">
        <v>46217</v>
      </c>
      <c r="F400" t="inlineStr">
        <is>
          <t>KRONOBERGS LÄN</t>
        </is>
      </c>
      <c r="G400" t="inlineStr">
        <is>
          <t>UPPVIDINGE</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20275-2026</t>
        </is>
      </c>
      <c r="B401" t="inlineStr">
        <is>
          <t>avverkningsanmälan</t>
        </is>
      </c>
      <c r="C401" t="inlineStr">
        <is>
          <t>Föryngringsavverkning</t>
        </is>
      </c>
      <c r="D401" s="1" t="n">
        <v>46139</v>
      </c>
      <c r="E401" s="1" t="n">
        <v>46217</v>
      </c>
      <c r="F401" t="inlineStr">
        <is>
          <t>KRONOBERGS LÄN</t>
        </is>
      </c>
      <c r="G401" t="inlineStr">
        <is>
          <t>UPPVIDINGE</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62514-2021</t>
        </is>
      </c>
      <c r="B402" t="inlineStr">
        <is>
          <t>avverkningsanmälan</t>
        </is>
      </c>
      <c r="C402" t="inlineStr">
        <is>
          <t>Föryngringsavverkning</t>
        </is>
      </c>
      <c r="D402" s="1" t="n">
        <v>44503</v>
      </c>
      <c r="E402" s="1" t="n">
        <v>46217</v>
      </c>
      <c r="F402" t="inlineStr">
        <is>
          <t>KRONOBERGS LÄN</t>
        </is>
      </c>
      <c r="G402" t="inlineStr">
        <is>
          <t>UPPVIDINGE</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58247-2025</t>
        </is>
      </c>
      <c r="B403" t="inlineStr">
        <is>
          <t>avverkningsanmälan</t>
        </is>
      </c>
      <c r="C403" t="inlineStr">
        <is>
          <t>Föryngringsavverkning</t>
        </is>
      </c>
      <c r="D403" s="1" t="n">
        <v>45985</v>
      </c>
      <c r="E403" s="1" t="n">
        <v>46217</v>
      </c>
      <c r="F403" t="inlineStr">
        <is>
          <t>KRONOBERGS LÄN</t>
        </is>
      </c>
      <c r="G403" t="inlineStr">
        <is>
          <t>UPPVIDINGE</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27849-2026</t>
        </is>
      </c>
      <c r="B404" t="inlineStr">
        <is>
          <t>avverkningsanmälan</t>
        </is>
      </c>
      <c r="C404" t="inlineStr">
        <is>
          <t>Föryngringsavverkning</t>
        </is>
      </c>
      <c r="D404" s="1" t="n">
        <v>46191</v>
      </c>
      <c r="E404" s="1" t="n">
        <v>46217</v>
      </c>
      <c r="F404" t="inlineStr">
        <is>
          <t>KRONOBERGS LÄN</t>
        </is>
      </c>
      <c r="G404" t="inlineStr">
        <is>
          <t>UPPVIDINGE</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A 59268-2025</t>
        </is>
      </c>
      <c r="B405" t="inlineStr">
        <is>
          <t>avverkningsanmälan</t>
        </is>
      </c>
      <c r="C405" t="inlineStr">
        <is>
          <t>Föryngringsavverkning</t>
        </is>
      </c>
      <c r="D405" s="1" t="n">
        <v>45988</v>
      </c>
      <c r="E405" s="1" t="n">
        <v>46217</v>
      </c>
      <c r="F405" t="inlineStr">
        <is>
          <t>KRONOBERGS LÄN</t>
        </is>
      </c>
      <c r="G405" t="inlineStr">
        <is>
          <t>UPPVIDINGE</t>
        </is>
      </c>
      <c r="I405" t="n">
        <v>2</v>
      </c>
      <c r="J405" t="n">
        <v>0</v>
      </c>
      <c r="K405" t="n">
        <v>0</v>
      </c>
      <c r="L405" t="n">
        <v>0</v>
      </c>
      <c r="M405" t="n">
        <v>0</v>
      </c>
      <c r="N405" t="n">
        <v>0</v>
      </c>
      <c r="O405" t="n">
        <v>0</v>
      </c>
      <c r="P405" t="n">
        <v>0</v>
      </c>
      <c r="Q405" t="n">
        <v>0</v>
      </c>
      <c r="R405" t="n">
        <v>0</v>
      </c>
      <c r="S405" t="n">
        <v>0</v>
      </c>
      <c r="T405" t="n">
        <v>0</v>
      </c>
      <c r="U405" s="2" t="inlineStr"/>
    </row>
    <row r="406" ht="15" customHeight="1">
      <c r="A406" t="inlineStr">
        <is>
          <t>A 7979-2024</t>
        </is>
      </c>
      <c r="B406" t="inlineStr">
        <is>
          <t>avverkningsanmälan</t>
        </is>
      </c>
      <c r="C406" t="inlineStr">
        <is>
          <t>Föryngringsavverkning</t>
        </is>
      </c>
      <c r="D406" s="1" t="n">
        <v>45348</v>
      </c>
      <c r="E406" s="1" t="n">
        <v>46217</v>
      </c>
      <c r="F406" t="inlineStr">
        <is>
          <t>KRONOBERGS LÄN</t>
        </is>
      </c>
      <c r="G406" t="inlineStr">
        <is>
          <t>UPPVIDINGE</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7981-2024</t>
        </is>
      </c>
      <c r="B407" t="inlineStr">
        <is>
          <t>avverkningsanmälan</t>
        </is>
      </c>
      <c r="C407" t="inlineStr">
        <is>
          <t>Föryngringsavverkning</t>
        </is>
      </c>
      <c r="D407" s="1" t="n">
        <v>45348</v>
      </c>
      <c r="E407" s="1" t="n">
        <v>46217</v>
      </c>
      <c r="F407" t="inlineStr">
        <is>
          <t>KRONOBERGS LÄN</t>
        </is>
      </c>
      <c r="G407" t="inlineStr">
        <is>
          <t>UPPVIDINGE</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21746-2026</t>
        </is>
      </c>
      <c r="B408" t="inlineStr">
        <is>
          <t>avverkningsanmälan</t>
        </is>
      </c>
      <c r="C408" t="inlineStr">
        <is>
          <t>Föryngringsavverkning</t>
        </is>
      </c>
      <c r="D408" s="1" t="n">
        <v>46149</v>
      </c>
      <c r="E408" s="1" t="n">
        <v>46217</v>
      </c>
      <c r="F408" t="inlineStr">
        <is>
          <t>KRONOBERGS LÄN</t>
        </is>
      </c>
      <c r="G408" t="inlineStr">
        <is>
          <t>UPPVIDINGE</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A 27778-2026</t>
        </is>
      </c>
      <c r="B409" t="inlineStr">
        <is>
          <t>avverkningsanmälan</t>
        </is>
      </c>
      <c r="C409" t="inlineStr">
        <is>
          <t>Föryngringsavverkning</t>
        </is>
      </c>
      <c r="D409" s="1" t="n">
        <v>46191</v>
      </c>
      <c r="E409" s="1" t="n">
        <v>46217</v>
      </c>
      <c r="F409" t="inlineStr">
        <is>
          <t>KRONOBERGS LÄN</t>
        </is>
      </c>
      <c r="G409" t="inlineStr">
        <is>
          <t>UPPVIDINGE</t>
        </is>
      </c>
      <c r="I409" t="n">
        <v>7.5</v>
      </c>
      <c r="J409" t="n">
        <v>0</v>
      </c>
      <c r="K409" t="n">
        <v>0</v>
      </c>
      <c r="L409" t="n">
        <v>0</v>
      </c>
      <c r="M409" t="n">
        <v>0</v>
      </c>
      <c r="N409" t="n">
        <v>0</v>
      </c>
      <c r="O409" t="n">
        <v>0</v>
      </c>
      <c r="P409" t="n">
        <v>0</v>
      </c>
      <c r="Q409" t="n">
        <v>0</v>
      </c>
      <c r="R409" t="n">
        <v>0</v>
      </c>
      <c r="S409" t="n">
        <v>0</v>
      </c>
      <c r="T409" t="n">
        <v>0</v>
      </c>
      <c r="U409" s="2" t="inlineStr"/>
    </row>
    <row r="410" ht="15" customHeight="1">
      <c r="A410" t="inlineStr">
        <is>
          <t>A 49966-2025</t>
        </is>
      </c>
      <c r="B410" t="inlineStr">
        <is>
          <t>avverkningsanmälan</t>
        </is>
      </c>
      <c r="C410" t="inlineStr">
        <is>
          <t>Föryngringsavverkning</t>
        </is>
      </c>
      <c r="D410" s="1" t="n">
        <v>45941</v>
      </c>
      <c r="E410" s="1" t="n">
        <v>46217</v>
      </c>
      <c r="F410" t="inlineStr">
        <is>
          <t>KRONOBERGS LÄN</t>
        </is>
      </c>
      <c r="G410" t="inlineStr">
        <is>
          <t>UPPVIDINGE</t>
        </is>
      </c>
      <c r="H410" t="inlineStr">
        <is>
          <t>Sveaskog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49965-2025</t>
        </is>
      </c>
      <c r="B411" t="inlineStr">
        <is>
          <t>avverkningsanmälan</t>
        </is>
      </c>
      <c r="C411" t="inlineStr">
        <is>
          <t>Föryngringsavverkning</t>
        </is>
      </c>
      <c r="D411" s="1" t="n">
        <v>45941</v>
      </c>
      <c r="E411" s="1" t="n">
        <v>46217</v>
      </c>
      <c r="F411" t="inlineStr">
        <is>
          <t>KRONOBERGS LÄN</t>
        </is>
      </c>
      <c r="G411" t="inlineStr">
        <is>
          <t>UPPVIDINGE</t>
        </is>
      </c>
      <c r="H411" t="inlineStr">
        <is>
          <t>Sveaskog</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22041-2026</t>
        </is>
      </c>
      <c r="B412" t="inlineStr">
        <is>
          <t>avverkningsanmälan</t>
        </is>
      </c>
      <c r="C412" t="inlineStr">
        <is>
          <t>Föryngringsavverkning</t>
        </is>
      </c>
      <c r="D412" s="1" t="n">
        <v>46153</v>
      </c>
      <c r="E412" s="1" t="n">
        <v>46217</v>
      </c>
      <c r="F412" t="inlineStr">
        <is>
          <t>KRONOBERGS LÄN</t>
        </is>
      </c>
      <c r="G412" t="inlineStr">
        <is>
          <t>UPPVIDINGE</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12894-2023</t>
        </is>
      </c>
      <c r="B413" t="inlineStr">
        <is>
          <t>avverkningsanmälan</t>
        </is>
      </c>
      <c r="C413" t="inlineStr">
        <is>
          <t>Föryngringsavverkning</t>
        </is>
      </c>
      <c r="D413" s="1" t="n">
        <v>45001</v>
      </c>
      <c r="E413" s="1" t="n">
        <v>46217</v>
      </c>
      <c r="F413" t="inlineStr">
        <is>
          <t>KRONOBERGS LÄN</t>
        </is>
      </c>
      <c r="G413" t="inlineStr">
        <is>
          <t>UPPVIDINGE</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59339-2025</t>
        </is>
      </c>
      <c r="B414" t="inlineStr">
        <is>
          <t>avverkningsanmälan</t>
        </is>
      </c>
      <c r="C414" t="inlineStr">
        <is>
          <t>Föryngringsavverkning</t>
        </is>
      </c>
      <c r="D414" s="1" t="n">
        <v>45989</v>
      </c>
      <c r="E414" s="1" t="n">
        <v>46217</v>
      </c>
      <c r="F414" t="inlineStr">
        <is>
          <t>KRONOBERGS LÄN</t>
        </is>
      </c>
      <c r="G414" t="inlineStr">
        <is>
          <t>UPPVIDINGE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55847-2025</t>
        </is>
      </c>
      <c r="B415" t="inlineStr">
        <is>
          <t>avverkningsanmälan</t>
        </is>
      </c>
      <c r="C415" t="inlineStr">
        <is>
          <t>Föryngringsavverkning</t>
        </is>
      </c>
      <c r="D415" s="1" t="n">
        <v>45973</v>
      </c>
      <c r="E415" s="1" t="n">
        <v>46217</v>
      </c>
      <c r="F415" t="inlineStr">
        <is>
          <t>KRONOBERGS LÄN</t>
        </is>
      </c>
      <c r="G415" t="inlineStr">
        <is>
          <t>UPPVIDINGE</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24455-2023</t>
        </is>
      </c>
      <c r="B416" t="inlineStr">
        <is>
          <t>avverkningsanmälan</t>
        </is>
      </c>
      <c r="C416" t="inlineStr">
        <is>
          <t>Föryngringsavverkning</t>
        </is>
      </c>
      <c r="D416" s="1" t="n">
        <v>45082</v>
      </c>
      <c r="E416" s="1" t="n">
        <v>46217</v>
      </c>
      <c r="F416" t="inlineStr">
        <is>
          <t>KRONOBERGS LÄN</t>
        </is>
      </c>
      <c r="G416" t="inlineStr">
        <is>
          <t>UPPVIDINGE</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37251-2021</t>
        </is>
      </c>
      <c r="B417" t="inlineStr">
        <is>
          <t>avverkningsanmälan</t>
        </is>
      </c>
      <c r="C417" t="inlineStr">
        <is>
          <t>Föryngringsavverkning</t>
        </is>
      </c>
      <c r="D417" s="1" t="n">
        <v>44396</v>
      </c>
      <c r="E417" s="1" t="n">
        <v>46217</v>
      </c>
      <c r="F417" t="inlineStr">
        <is>
          <t>KRONOBERGS LÄN</t>
        </is>
      </c>
      <c r="G417" t="inlineStr">
        <is>
          <t>UPPVIDINGE</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59395-2025</t>
        </is>
      </c>
      <c r="B418" t="inlineStr">
        <is>
          <t>avverkningsanmälan</t>
        </is>
      </c>
      <c r="C418" t="inlineStr">
        <is>
          <t>Föryngringsavverkning</t>
        </is>
      </c>
      <c r="D418" s="1" t="n">
        <v>45989</v>
      </c>
      <c r="E418" s="1" t="n">
        <v>46217</v>
      </c>
      <c r="F418" t="inlineStr">
        <is>
          <t>KRONOBERGS LÄN</t>
        </is>
      </c>
      <c r="G418" t="inlineStr">
        <is>
          <t>UPPVIDINGE</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60370-2021</t>
        </is>
      </c>
      <c r="B419" t="inlineStr">
        <is>
          <t>avverkningsanmälan</t>
        </is>
      </c>
      <c r="C419" t="inlineStr">
        <is>
          <t>Föryngringsavverkning</t>
        </is>
      </c>
      <c r="D419" s="1" t="n">
        <v>44496</v>
      </c>
      <c r="E419" s="1" t="n">
        <v>46217</v>
      </c>
      <c r="F419" t="inlineStr">
        <is>
          <t>KRONOBERGS LÄN</t>
        </is>
      </c>
      <c r="G419" t="inlineStr">
        <is>
          <t>UPPVIDINGE</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53736-2025</t>
        </is>
      </c>
      <c r="B420" t="inlineStr">
        <is>
          <t>avverkningsanmälan</t>
        </is>
      </c>
      <c r="C420" t="inlineStr">
        <is>
          <t>Föryngringsavverkning</t>
        </is>
      </c>
      <c r="D420" s="1" t="n">
        <v>45960</v>
      </c>
      <c r="E420" s="1" t="n">
        <v>46217</v>
      </c>
      <c r="F420" t="inlineStr">
        <is>
          <t>KRONOBERGS LÄN</t>
        </is>
      </c>
      <c r="G420" t="inlineStr">
        <is>
          <t>UPPVIDINGE</t>
        </is>
      </c>
      <c r="H420" t="inlineStr">
        <is>
          <t>Sveaskog</t>
        </is>
      </c>
      <c r="I420" t="n">
        <v>23.5</v>
      </c>
      <c r="J420" t="n">
        <v>0</v>
      </c>
      <c r="K420" t="n">
        <v>0</v>
      </c>
      <c r="L420" t="n">
        <v>0</v>
      </c>
      <c r="M420" t="n">
        <v>0</v>
      </c>
      <c r="N420" t="n">
        <v>0</v>
      </c>
      <c r="O420" t="n">
        <v>0</v>
      </c>
      <c r="P420" t="n">
        <v>0</v>
      </c>
      <c r="Q420" t="n">
        <v>0</v>
      </c>
      <c r="R420" t="n">
        <v>0</v>
      </c>
      <c r="S420" t="n">
        <v>0</v>
      </c>
      <c r="T420" t="n">
        <v>0</v>
      </c>
      <c r="U420" s="2" t="inlineStr"/>
    </row>
    <row r="421" ht="15" customHeight="1">
      <c r="A421" t="inlineStr">
        <is>
          <t>A 53742-2025</t>
        </is>
      </c>
      <c r="B421" t="inlineStr">
        <is>
          <t>avverkningsanmälan</t>
        </is>
      </c>
      <c r="C421" t="inlineStr">
        <is>
          <t>Föryngringsavverkning</t>
        </is>
      </c>
      <c r="D421" s="1" t="n">
        <v>45960</v>
      </c>
      <c r="E421" s="1" t="n">
        <v>46217</v>
      </c>
      <c r="F421" t="inlineStr">
        <is>
          <t>KRONOBERGS LÄN</t>
        </is>
      </c>
      <c r="G421" t="inlineStr">
        <is>
          <t>UPPVIDINGE</t>
        </is>
      </c>
      <c r="H421" t="inlineStr">
        <is>
          <t>Sveaskog</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41805-2024</t>
        </is>
      </c>
      <c r="B422" t="inlineStr">
        <is>
          <t>avverkningsanmälan</t>
        </is>
      </c>
      <c r="C422" t="inlineStr">
        <is>
          <t>Föryngringsavverkning</t>
        </is>
      </c>
      <c r="D422" s="1" t="n">
        <v>45561</v>
      </c>
      <c r="E422" s="1" t="n">
        <v>46217</v>
      </c>
      <c r="F422" t="inlineStr">
        <is>
          <t>KRONOBERGS LÄN</t>
        </is>
      </c>
      <c r="G422" t="inlineStr">
        <is>
          <t>UPPVIDINGE</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43378-2024</t>
        </is>
      </c>
      <c r="B423" t="inlineStr">
        <is>
          <t>avverkningsanmälan</t>
        </is>
      </c>
      <c r="C423" t="inlineStr">
        <is>
          <t>Föryngringsavverkning</t>
        </is>
      </c>
      <c r="D423" s="1" t="n">
        <v>45568</v>
      </c>
      <c r="E423" s="1" t="n">
        <v>46217</v>
      </c>
      <c r="F423" t="inlineStr">
        <is>
          <t>KRONOBERGS LÄN</t>
        </is>
      </c>
      <c r="G423" t="inlineStr">
        <is>
          <t>UPPVIDINGE</t>
        </is>
      </c>
      <c r="H423" t="inlineStr">
        <is>
          <t>Kyrkan</t>
        </is>
      </c>
      <c r="I423" t="n">
        <v>5.5</v>
      </c>
      <c r="J423" t="n">
        <v>0</v>
      </c>
      <c r="K423" t="n">
        <v>0</v>
      </c>
      <c r="L423" t="n">
        <v>0</v>
      </c>
      <c r="M423" t="n">
        <v>0</v>
      </c>
      <c r="N423" t="n">
        <v>0</v>
      </c>
      <c r="O423" t="n">
        <v>0</v>
      </c>
      <c r="P423" t="n">
        <v>0</v>
      </c>
      <c r="Q423" t="n">
        <v>0</v>
      </c>
      <c r="R423" t="n">
        <v>0</v>
      </c>
      <c r="S423" t="n">
        <v>0</v>
      </c>
      <c r="T423" t="n">
        <v>0</v>
      </c>
      <c r="U423" s="2" t="inlineStr"/>
    </row>
    <row r="424" ht="15" customHeight="1">
      <c r="A424" t="inlineStr">
        <is>
          <t>A 60354-2025</t>
        </is>
      </c>
      <c r="B424" t="inlineStr">
        <is>
          <t>avverkningsanmälan</t>
        </is>
      </c>
      <c r="C424" t="inlineStr">
        <is>
          <t>Föryngringsavverkning</t>
        </is>
      </c>
      <c r="D424" s="1" t="n">
        <v>45995</v>
      </c>
      <c r="E424" s="1" t="n">
        <v>46217</v>
      </c>
      <c r="F424" t="inlineStr">
        <is>
          <t>KRONOBERGS LÄN</t>
        </is>
      </c>
      <c r="G424" t="inlineStr">
        <is>
          <t>UPPVIDINGE</t>
        </is>
      </c>
      <c r="H424" t="inlineStr">
        <is>
          <t>Sveaskog</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60539-2025</t>
        </is>
      </c>
      <c r="B425" t="inlineStr">
        <is>
          <t>avverkningsanmälan</t>
        </is>
      </c>
      <c r="C425" t="inlineStr">
        <is>
          <t>Föryngringsavverkning</t>
        </is>
      </c>
      <c r="D425" s="1" t="n">
        <v>45995</v>
      </c>
      <c r="E425" s="1" t="n">
        <v>46217</v>
      </c>
      <c r="F425" t="inlineStr">
        <is>
          <t>KRONOBERGS LÄN</t>
        </is>
      </c>
      <c r="G425" t="inlineStr">
        <is>
          <t>UPPVIDINGE</t>
        </is>
      </c>
      <c r="I425" t="n">
        <v>5.2</v>
      </c>
      <c r="J425" t="n">
        <v>0</v>
      </c>
      <c r="K425" t="n">
        <v>0</v>
      </c>
      <c r="L425" t="n">
        <v>0</v>
      </c>
      <c r="M425" t="n">
        <v>0</v>
      </c>
      <c r="N425" t="n">
        <v>0</v>
      </c>
      <c r="O425" t="n">
        <v>0</v>
      </c>
      <c r="P425" t="n">
        <v>0</v>
      </c>
      <c r="Q425" t="n">
        <v>0</v>
      </c>
      <c r="R425" t="n">
        <v>0</v>
      </c>
      <c r="S425" t="n">
        <v>0</v>
      </c>
      <c r="T425" t="n">
        <v>0</v>
      </c>
      <c r="U425" s="2" t="inlineStr"/>
    </row>
    <row r="426" ht="15" customHeight="1">
      <c r="A426" t="inlineStr">
        <is>
          <t>A 60484-2025</t>
        </is>
      </c>
      <c r="B426" t="inlineStr">
        <is>
          <t>avverkningsanmälan</t>
        </is>
      </c>
      <c r="C426" t="inlineStr">
        <is>
          <t>Föryngringsavverkning</t>
        </is>
      </c>
      <c r="D426" s="1" t="n">
        <v>45995</v>
      </c>
      <c r="E426" s="1" t="n">
        <v>46217</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60498-2025</t>
        </is>
      </c>
      <c r="B427" t="inlineStr">
        <is>
          <t>avverkningsanmälan</t>
        </is>
      </c>
      <c r="C427" t="inlineStr">
        <is>
          <t>Föryngringsavverkning</t>
        </is>
      </c>
      <c r="D427" s="1" t="n">
        <v>45995</v>
      </c>
      <c r="E427" s="1" t="n">
        <v>46217</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60951-2025</t>
        </is>
      </c>
      <c r="B428" t="inlineStr">
        <is>
          <t>avverkningsanmälan</t>
        </is>
      </c>
      <c r="C428" t="inlineStr">
        <is>
          <t>Föryngringsavverkning</t>
        </is>
      </c>
      <c r="D428" s="1" t="n">
        <v>45999</v>
      </c>
      <c r="E428" s="1" t="n">
        <v>46217</v>
      </c>
      <c r="F428" t="inlineStr">
        <is>
          <t>KRONOBERGS LÄN</t>
        </is>
      </c>
      <c r="G428" t="inlineStr">
        <is>
          <t>UPPVIDINGE</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28170-2026</t>
        </is>
      </c>
      <c r="B429" t="inlineStr">
        <is>
          <t>avverkningsanmälan</t>
        </is>
      </c>
      <c r="C429" t="inlineStr">
        <is>
          <t>Föryngringsavverkning</t>
        </is>
      </c>
      <c r="D429" s="1" t="n">
        <v>46195</v>
      </c>
      <c r="E429" s="1" t="n">
        <v>46217</v>
      </c>
      <c r="F429" t="inlineStr">
        <is>
          <t>KRONOBERGS LÄN</t>
        </is>
      </c>
      <c r="G429" t="inlineStr">
        <is>
          <t>UPPVIDINGE</t>
        </is>
      </c>
      <c r="I429" t="n">
        <v>3.2</v>
      </c>
      <c r="J429" t="n">
        <v>0</v>
      </c>
      <c r="K429" t="n">
        <v>0</v>
      </c>
      <c r="L429" t="n">
        <v>0</v>
      </c>
      <c r="M429" t="n">
        <v>0</v>
      </c>
      <c r="N429" t="n">
        <v>0</v>
      </c>
      <c r="O429" t="n">
        <v>0</v>
      </c>
      <c r="P429" t="n">
        <v>0</v>
      </c>
      <c r="Q429" t="n">
        <v>0</v>
      </c>
      <c r="R429" t="n">
        <v>0</v>
      </c>
      <c r="S429" t="n">
        <v>0</v>
      </c>
      <c r="T429" t="n">
        <v>0</v>
      </c>
      <c r="U429" s="2" t="inlineStr"/>
    </row>
    <row r="430" ht="15" customHeight="1">
      <c r="A430" t="inlineStr">
        <is>
          <t>A 23713-2024</t>
        </is>
      </c>
      <c r="B430" t="inlineStr">
        <is>
          <t>avverkningsanmälan</t>
        </is>
      </c>
      <c r="C430" t="inlineStr">
        <is>
          <t>Föryngringsavverkning</t>
        </is>
      </c>
      <c r="D430" s="1" t="n">
        <v>45454</v>
      </c>
      <c r="E430" s="1" t="n">
        <v>46217</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7516-2024</t>
        </is>
      </c>
      <c r="B431" t="inlineStr">
        <is>
          <t>avverkningsanmälan</t>
        </is>
      </c>
      <c r="C431" t="inlineStr">
        <is>
          <t>Föryngringsavverkning</t>
        </is>
      </c>
      <c r="D431" s="1" t="n">
        <v>45348</v>
      </c>
      <c r="E431" s="1" t="n">
        <v>46217</v>
      </c>
      <c r="F431" t="inlineStr">
        <is>
          <t>KRONOBERGS LÄN</t>
        </is>
      </c>
      <c r="G431" t="inlineStr">
        <is>
          <t>UPPVIDINGE</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61312-2025</t>
        </is>
      </c>
      <c r="B432" t="inlineStr">
        <is>
          <t>avverkningsanmälan</t>
        </is>
      </c>
      <c r="C432" t="inlineStr">
        <is>
          <t>Föryngringsavverkning</t>
        </is>
      </c>
      <c r="D432" s="1" t="n">
        <v>46000</v>
      </c>
      <c r="E432" s="1" t="n">
        <v>46217</v>
      </c>
      <c r="F432" t="inlineStr">
        <is>
          <t>KRONOBERGS LÄN</t>
        </is>
      </c>
      <c r="G432" t="inlineStr">
        <is>
          <t>UPPVIDINGE</t>
        </is>
      </c>
      <c r="I432" t="n">
        <v>7.3</v>
      </c>
      <c r="J432" t="n">
        <v>0</v>
      </c>
      <c r="K432" t="n">
        <v>0</v>
      </c>
      <c r="L432" t="n">
        <v>0</v>
      </c>
      <c r="M432" t="n">
        <v>0</v>
      </c>
      <c r="N432" t="n">
        <v>0</v>
      </c>
      <c r="O432" t="n">
        <v>0</v>
      </c>
      <c r="P432" t="n">
        <v>0</v>
      </c>
      <c r="Q432" t="n">
        <v>0</v>
      </c>
      <c r="R432" t="n">
        <v>0</v>
      </c>
      <c r="S432" t="n">
        <v>0</v>
      </c>
      <c r="T432" t="n">
        <v>0</v>
      </c>
      <c r="U432" s="2" t="inlineStr"/>
    </row>
    <row r="433" ht="15" customHeight="1">
      <c r="A433" t="inlineStr">
        <is>
          <t>A 12339-2023</t>
        </is>
      </c>
      <c r="B433" t="inlineStr">
        <is>
          <t>avverkningsanmälan</t>
        </is>
      </c>
      <c r="C433" t="inlineStr">
        <is>
          <t>Föryngringsavverkning</t>
        </is>
      </c>
      <c r="D433" s="1" t="n">
        <v>44998</v>
      </c>
      <c r="E433" s="1" t="n">
        <v>46217</v>
      </c>
      <c r="F433" t="inlineStr">
        <is>
          <t>KRONOBERGS LÄN</t>
        </is>
      </c>
      <c r="G433" t="inlineStr">
        <is>
          <t>UPPVIDINGE</t>
        </is>
      </c>
      <c r="H433" t="inlineStr">
        <is>
          <t>Kyrkan</t>
        </is>
      </c>
      <c r="I433" t="n">
        <v>4.3</v>
      </c>
      <c r="J433" t="n">
        <v>0</v>
      </c>
      <c r="K433" t="n">
        <v>0</v>
      </c>
      <c r="L433" t="n">
        <v>0</v>
      </c>
      <c r="M433" t="n">
        <v>0</v>
      </c>
      <c r="N433" t="n">
        <v>0</v>
      </c>
      <c r="O433" t="n">
        <v>0</v>
      </c>
      <c r="P433" t="n">
        <v>0</v>
      </c>
      <c r="Q433" t="n">
        <v>0</v>
      </c>
      <c r="R433" t="n">
        <v>0</v>
      </c>
      <c r="S433" t="n">
        <v>0</v>
      </c>
      <c r="T433" t="n">
        <v>0</v>
      </c>
      <c r="U433" s="2" t="inlineStr"/>
    </row>
    <row r="434" ht="15" customHeight="1">
      <c r="A434" t="inlineStr">
        <is>
          <t>A 28445-2023</t>
        </is>
      </c>
      <c r="B434" t="inlineStr">
        <is>
          <t>avverkningsanmälan</t>
        </is>
      </c>
      <c r="C434" t="inlineStr">
        <is>
          <t>Föryngringsavverkning</t>
        </is>
      </c>
      <c r="D434" s="1" t="n">
        <v>45103</v>
      </c>
      <c r="E434" s="1" t="n">
        <v>46217</v>
      </c>
      <c r="F434" t="inlineStr">
        <is>
          <t>KRONOBERGS LÄN</t>
        </is>
      </c>
      <c r="G434" t="inlineStr">
        <is>
          <t>UPPVIDINGE</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61711-2025</t>
        </is>
      </c>
      <c r="B435" t="inlineStr">
        <is>
          <t>avverkningsanmälan</t>
        </is>
      </c>
      <c r="C435" t="inlineStr">
        <is>
          <t>Föryngringsavverkning</t>
        </is>
      </c>
      <c r="D435" s="1" t="n">
        <v>46002</v>
      </c>
      <c r="E435" s="1" t="n">
        <v>46217</v>
      </c>
      <c r="F435" t="inlineStr">
        <is>
          <t>KRONOBERGS LÄN</t>
        </is>
      </c>
      <c r="G435" t="inlineStr">
        <is>
          <t>UPPVIDINGE</t>
        </is>
      </c>
      <c r="H435" t="inlineStr">
        <is>
          <t>Sveaskog</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61313-2025</t>
        </is>
      </c>
      <c r="B436" t="inlineStr">
        <is>
          <t>avverkningsanmälan</t>
        </is>
      </c>
      <c r="C436" t="inlineStr">
        <is>
          <t>Föryngringsavverkning</t>
        </is>
      </c>
      <c r="D436" s="1" t="n">
        <v>46000</v>
      </c>
      <c r="E436" s="1" t="n">
        <v>46217</v>
      </c>
      <c r="F436" t="inlineStr">
        <is>
          <t>KRONOBERGS LÄN</t>
        </is>
      </c>
      <c r="G436" t="inlineStr">
        <is>
          <t>UPPVIDINGE</t>
        </is>
      </c>
      <c r="I436" t="n">
        <v>6.9</v>
      </c>
      <c r="J436" t="n">
        <v>0</v>
      </c>
      <c r="K436" t="n">
        <v>0</v>
      </c>
      <c r="L436" t="n">
        <v>0</v>
      </c>
      <c r="M436" t="n">
        <v>0</v>
      </c>
      <c r="N436" t="n">
        <v>0</v>
      </c>
      <c r="O436" t="n">
        <v>0</v>
      </c>
      <c r="P436" t="n">
        <v>0</v>
      </c>
      <c r="Q436" t="n">
        <v>0</v>
      </c>
      <c r="R436" t="n">
        <v>0</v>
      </c>
      <c r="S436" t="n">
        <v>0</v>
      </c>
      <c r="T436" t="n">
        <v>0</v>
      </c>
      <c r="U436" s="2" t="inlineStr"/>
    </row>
    <row r="437" ht="15" customHeight="1">
      <c r="A437" t="inlineStr">
        <is>
          <t>A 42755-2023</t>
        </is>
      </c>
      <c r="B437" t="inlineStr">
        <is>
          <t>avverkningsanmälan</t>
        </is>
      </c>
      <c r="C437" t="inlineStr">
        <is>
          <t>Föryngringsavverkning</t>
        </is>
      </c>
      <c r="D437" s="1" t="n">
        <v>45181</v>
      </c>
      <c r="E437" s="1" t="n">
        <v>46217</v>
      </c>
      <c r="F437" t="inlineStr">
        <is>
          <t>KRONOBERGS LÄN</t>
        </is>
      </c>
      <c r="G437" t="inlineStr">
        <is>
          <t>UPPVIDINGE</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61496-2025</t>
        </is>
      </c>
      <c r="B438" t="inlineStr">
        <is>
          <t>avverkningsanmälan</t>
        </is>
      </c>
      <c r="C438" t="inlineStr">
        <is>
          <t>Föryngringsavverkning</t>
        </is>
      </c>
      <c r="D438" s="1" t="n">
        <v>46001</v>
      </c>
      <c r="E438" s="1" t="n">
        <v>46217</v>
      </c>
      <c r="F438" t="inlineStr">
        <is>
          <t>KRONOBERGS LÄN</t>
        </is>
      </c>
      <c r="G438" t="inlineStr">
        <is>
          <t>UPPVIDINGE</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61710-2025</t>
        </is>
      </c>
      <c r="B439" t="inlineStr">
        <is>
          <t>avverkningsanmälan</t>
        </is>
      </c>
      <c r="C439" t="inlineStr">
        <is>
          <t>Föryngringsavverkning</t>
        </is>
      </c>
      <c r="D439" s="1" t="n">
        <v>46002</v>
      </c>
      <c r="E439" s="1" t="n">
        <v>46217</v>
      </c>
      <c r="F439" t="inlineStr">
        <is>
          <t>KRONOBERGS LÄN</t>
        </is>
      </c>
      <c r="G439" t="inlineStr">
        <is>
          <t>UPPVIDINGE</t>
        </is>
      </c>
      <c r="H439" t="inlineStr">
        <is>
          <t>Sveaskog</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26344-2024</t>
        </is>
      </c>
      <c r="B440" t="inlineStr">
        <is>
          <t>avverkningsanmälan</t>
        </is>
      </c>
      <c r="C440" t="inlineStr">
        <is>
          <t>Föryngringsavverkning</t>
        </is>
      </c>
      <c r="D440" s="1" t="n">
        <v>45469</v>
      </c>
      <c r="E440" s="1" t="n">
        <v>46217</v>
      </c>
      <c r="F440" t="inlineStr">
        <is>
          <t>KRONOBERGS LÄN</t>
        </is>
      </c>
      <c r="G440" t="inlineStr">
        <is>
          <t>UPPVIDINGE</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22037-2026</t>
        </is>
      </c>
      <c r="B441" t="inlineStr">
        <is>
          <t>avverkningsanmälan</t>
        </is>
      </c>
      <c r="C441" t="inlineStr">
        <is>
          <t>Föryngringsavverkning</t>
        </is>
      </c>
      <c r="D441" s="1" t="n">
        <v>46153</v>
      </c>
      <c r="E441" s="1" t="n">
        <v>46217</v>
      </c>
      <c r="F441" t="inlineStr">
        <is>
          <t>KRONOBERGS LÄN</t>
        </is>
      </c>
      <c r="G441" t="inlineStr">
        <is>
          <t>UPPVIDINGE</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19216-2024</t>
        </is>
      </c>
      <c r="B442" t="inlineStr">
        <is>
          <t>avverkningsanmälan</t>
        </is>
      </c>
      <c r="C442" t="inlineStr">
        <is>
          <t>Föryngringsavverkning</t>
        </is>
      </c>
      <c r="D442" s="1" t="n">
        <v>45428</v>
      </c>
      <c r="E442" s="1" t="n">
        <v>46217</v>
      </c>
      <c r="F442" t="inlineStr">
        <is>
          <t>KRONOBERGS LÄN</t>
        </is>
      </c>
      <c r="G442" t="inlineStr">
        <is>
          <t>UPPVIDINGE</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36601-2023</t>
        </is>
      </c>
      <c r="B443" t="inlineStr">
        <is>
          <t>avverkningsanmälan</t>
        </is>
      </c>
      <c r="C443" t="inlineStr">
        <is>
          <t>Föryngringsavverkning</t>
        </is>
      </c>
      <c r="D443" s="1" t="n">
        <v>45153</v>
      </c>
      <c r="E443" s="1" t="n">
        <v>46217</v>
      </c>
      <c r="F443" t="inlineStr">
        <is>
          <t>KRONOBERGS LÄN</t>
        </is>
      </c>
      <c r="G443" t="inlineStr">
        <is>
          <t>UPPVIDINGE</t>
        </is>
      </c>
      <c r="I443" t="n">
        <v>0.1</v>
      </c>
      <c r="J443" t="n">
        <v>0</v>
      </c>
      <c r="K443" t="n">
        <v>0</v>
      </c>
      <c r="L443" t="n">
        <v>0</v>
      </c>
      <c r="M443" t="n">
        <v>0</v>
      </c>
      <c r="N443" t="n">
        <v>0</v>
      </c>
      <c r="O443" t="n">
        <v>0</v>
      </c>
      <c r="P443" t="n">
        <v>0</v>
      </c>
      <c r="Q443" t="n">
        <v>0</v>
      </c>
      <c r="R443" t="n">
        <v>0</v>
      </c>
      <c r="S443" t="n">
        <v>0</v>
      </c>
      <c r="T443" t="n">
        <v>0</v>
      </c>
      <c r="U443" s="2" t="inlineStr"/>
    </row>
    <row r="444" ht="15" customHeight="1">
      <c r="A444" t="inlineStr">
        <is>
          <t>A 62454-2025</t>
        </is>
      </c>
      <c r="B444" t="inlineStr">
        <is>
          <t>avverkningsanmälan</t>
        </is>
      </c>
      <c r="C444" t="inlineStr">
        <is>
          <t>Föryngringsavverkning</t>
        </is>
      </c>
      <c r="D444" s="1" t="n">
        <v>46007</v>
      </c>
      <c r="E444" s="1" t="n">
        <v>46217</v>
      </c>
      <c r="F444" t="inlineStr">
        <is>
          <t>KRONOBERGS LÄN</t>
        </is>
      </c>
      <c r="G444" t="inlineStr">
        <is>
          <t>UPPVIDINGE</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35147-2024</t>
        </is>
      </c>
      <c r="B445" t="inlineStr">
        <is>
          <t>avverkningsanmälan</t>
        </is>
      </c>
      <c r="C445" t="inlineStr">
        <is>
          <t>Föryngringsavverkning</t>
        </is>
      </c>
      <c r="D445" s="1" t="n">
        <v>45530</v>
      </c>
      <c r="E445" s="1" t="n">
        <v>46217</v>
      </c>
      <c r="F445" t="inlineStr">
        <is>
          <t>KRONOBERGS LÄN</t>
        </is>
      </c>
      <c r="G445" t="inlineStr">
        <is>
          <t>UPPVIDINGE</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10289-2025</t>
        </is>
      </c>
      <c r="B446" t="inlineStr">
        <is>
          <t>avverkningsanmälan</t>
        </is>
      </c>
      <c r="C446" t="inlineStr">
        <is>
          <t>Föryngringsavverkning</t>
        </is>
      </c>
      <c r="D446" s="1" t="n">
        <v>45720</v>
      </c>
      <c r="E446" s="1" t="n">
        <v>46217</v>
      </c>
      <c r="F446" t="inlineStr">
        <is>
          <t>KRONOBERGS LÄN</t>
        </is>
      </c>
      <c r="G446" t="inlineStr">
        <is>
          <t>UPPVIDINGE</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42823-2021</t>
        </is>
      </c>
      <c r="B447" t="inlineStr">
        <is>
          <t>avverkningsanmälan</t>
        </is>
      </c>
      <c r="C447" t="inlineStr">
        <is>
          <t>Föryngringsavverkning</t>
        </is>
      </c>
      <c r="D447" s="1" t="n">
        <v>44430</v>
      </c>
      <c r="E447" s="1" t="n">
        <v>46217</v>
      </c>
      <c r="F447" t="inlineStr">
        <is>
          <t>KRONOBERGS LÄN</t>
        </is>
      </c>
      <c r="G447" t="inlineStr">
        <is>
          <t>UPPVIDINGE</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63521-2025</t>
        </is>
      </c>
      <c r="B448" t="inlineStr">
        <is>
          <t>avverkningsanmälan</t>
        </is>
      </c>
      <c r="C448" t="inlineStr">
        <is>
          <t>Föryngringsavverkning</t>
        </is>
      </c>
      <c r="D448" s="1" t="n">
        <v>46013</v>
      </c>
      <c r="E448" s="1" t="n">
        <v>46217</v>
      </c>
      <c r="F448" t="inlineStr">
        <is>
          <t>KRONOBERGS LÄN</t>
        </is>
      </c>
      <c r="G448" t="inlineStr">
        <is>
          <t>UPPVIDINGE</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22686-2026</t>
        </is>
      </c>
      <c r="B449" t="inlineStr">
        <is>
          <t>avverkningsanmälan</t>
        </is>
      </c>
      <c r="C449" t="inlineStr">
        <is>
          <t>Föryngringsavverkning</t>
        </is>
      </c>
      <c r="D449" s="1" t="n">
        <v>46156</v>
      </c>
      <c r="E449" s="1" t="n">
        <v>46217</v>
      </c>
      <c r="F449" t="inlineStr">
        <is>
          <t>KRONOBERGS LÄN</t>
        </is>
      </c>
      <c r="G449" t="inlineStr">
        <is>
          <t>UPPVIDINGE</t>
        </is>
      </c>
      <c r="H449" t="inlineStr">
        <is>
          <t>Sveaskog</t>
        </is>
      </c>
      <c r="I449" t="n">
        <v>2.8</v>
      </c>
      <c r="J449" t="n">
        <v>0</v>
      </c>
      <c r="K449" t="n">
        <v>0</v>
      </c>
      <c r="L449" t="n">
        <v>0</v>
      </c>
      <c r="M449" t="n">
        <v>0</v>
      </c>
      <c r="N449" t="n">
        <v>0</v>
      </c>
      <c r="O449" t="n">
        <v>0</v>
      </c>
      <c r="P449" t="n">
        <v>0</v>
      </c>
      <c r="Q449" t="n">
        <v>0</v>
      </c>
      <c r="R449" t="n">
        <v>0</v>
      </c>
      <c r="S449" t="n">
        <v>0</v>
      </c>
      <c r="T449" t="n">
        <v>0</v>
      </c>
      <c r="U449" s="2" t="inlineStr"/>
    </row>
    <row r="450" ht="15" customHeight="1">
      <c r="A450" t="inlineStr">
        <is>
          <t>A 63520-2025</t>
        </is>
      </c>
      <c r="B450" t="inlineStr">
        <is>
          <t>avverkningsanmälan</t>
        </is>
      </c>
      <c r="C450" t="inlineStr">
        <is>
          <t>Föryngringsavverkning</t>
        </is>
      </c>
      <c r="D450" s="1" t="n">
        <v>46013</v>
      </c>
      <c r="E450" s="1" t="n">
        <v>46217</v>
      </c>
      <c r="F450" t="inlineStr">
        <is>
          <t>KRONOBERGS LÄN</t>
        </is>
      </c>
      <c r="G450" t="inlineStr">
        <is>
          <t>UPPVIDINGE</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53134-2023</t>
        </is>
      </c>
      <c r="B451" t="inlineStr">
        <is>
          <t>avverkningsanmälan</t>
        </is>
      </c>
      <c r="C451" t="inlineStr">
        <is>
          <t>Föryngringsavverkning</t>
        </is>
      </c>
      <c r="D451" s="1" t="n">
        <v>45229</v>
      </c>
      <c r="E451" s="1" t="n">
        <v>46217</v>
      </c>
      <c r="F451" t="inlineStr">
        <is>
          <t>KRONOBERGS LÄN</t>
        </is>
      </c>
      <c r="G451" t="inlineStr">
        <is>
          <t>UPPVIDINGE</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13583-2024</t>
        </is>
      </c>
      <c r="B452" t="inlineStr">
        <is>
          <t>avverkningsanmälan</t>
        </is>
      </c>
      <c r="C452" t="inlineStr">
        <is>
          <t>Föryngringsavverkning</t>
        </is>
      </c>
      <c r="D452" s="1" t="n">
        <v>45389</v>
      </c>
      <c r="E452" s="1" t="n">
        <v>46217</v>
      </c>
      <c r="F452" t="inlineStr">
        <is>
          <t>KRONOBERGS LÄN</t>
        </is>
      </c>
      <c r="G452" t="inlineStr">
        <is>
          <t>UPPVIDINGE</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337-2026</t>
        </is>
      </c>
      <c r="B453" t="inlineStr">
        <is>
          <t>avverkningsanmälan</t>
        </is>
      </c>
      <c r="C453" t="inlineStr">
        <is>
          <t>Föryngringsavverkning</t>
        </is>
      </c>
      <c r="D453" s="1" t="n">
        <v>46027</v>
      </c>
      <c r="E453" s="1" t="n">
        <v>46217</v>
      </c>
      <c r="F453" t="inlineStr">
        <is>
          <t>KRONOBERGS LÄN</t>
        </is>
      </c>
      <c r="G453" t="inlineStr">
        <is>
          <t>UPPVIDINGE</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334-2026</t>
        </is>
      </c>
      <c r="B454" t="inlineStr">
        <is>
          <t>avverkningsanmälan</t>
        </is>
      </c>
      <c r="C454" t="inlineStr">
        <is>
          <t>Föryngringsavverkning</t>
        </is>
      </c>
      <c r="D454" s="1" t="n">
        <v>46027</v>
      </c>
      <c r="E454" s="1" t="n">
        <v>46217</v>
      </c>
      <c r="F454" t="inlineStr">
        <is>
          <t>KRONOBERGS LÄN</t>
        </is>
      </c>
      <c r="G454" t="inlineStr">
        <is>
          <t>UPPVIDINGE</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766-2026</t>
        </is>
      </c>
      <c r="B455" t="inlineStr">
        <is>
          <t>avverkningsanmälan</t>
        </is>
      </c>
      <c r="C455" t="inlineStr">
        <is>
          <t>Föryngringsavverkning</t>
        </is>
      </c>
      <c r="D455" s="1" t="n">
        <v>46029</v>
      </c>
      <c r="E455" s="1" t="n">
        <v>46217</v>
      </c>
      <c r="F455" t="inlineStr">
        <is>
          <t>KRONOBERGS LÄN</t>
        </is>
      </c>
      <c r="G455" t="inlineStr">
        <is>
          <t>UPPVIDINGE</t>
        </is>
      </c>
      <c r="I455" t="n">
        <v>2.5</v>
      </c>
      <c r="J455" t="n">
        <v>0</v>
      </c>
      <c r="K455" t="n">
        <v>0</v>
      </c>
      <c r="L455" t="n">
        <v>0</v>
      </c>
      <c r="M455" t="n">
        <v>0</v>
      </c>
      <c r="N455" t="n">
        <v>0</v>
      </c>
      <c r="O455" t="n">
        <v>0</v>
      </c>
      <c r="P455" t="n">
        <v>0</v>
      </c>
      <c r="Q455" t="n">
        <v>0</v>
      </c>
      <c r="R455" t="n">
        <v>0</v>
      </c>
      <c r="S455" t="n">
        <v>0</v>
      </c>
      <c r="T455" t="n">
        <v>0</v>
      </c>
      <c r="U455" s="2" t="inlineStr"/>
    </row>
    <row r="456" ht="15" customHeight="1">
      <c r="A456" t="inlineStr">
        <is>
          <t>A 505-2026</t>
        </is>
      </c>
      <c r="B456" t="inlineStr">
        <is>
          <t>avverkningsanmälan</t>
        </is>
      </c>
      <c r="C456" t="inlineStr">
        <is>
          <t>Föryngringsavverkning</t>
        </is>
      </c>
      <c r="D456" s="1" t="n">
        <v>46029</v>
      </c>
      <c r="E456" s="1" t="n">
        <v>46217</v>
      </c>
      <c r="F456" t="inlineStr">
        <is>
          <t>KRONOBERGS LÄN</t>
        </is>
      </c>
      <c r="G456" t="inlineStr">
        <is>
          <t>UPPVIDINGE</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764-2026</t>
        </is>
      </c>
      <c r="B457" t="inlineStr">
        <is>
          <t>avverkningsanmälan</t>
        </is>
      </c>
      <c r="C457" t="inlineStr">
        <is>
          <t>Föryngringsavverkning</t>
        </is>
      </c>
      <c r="D457" s="1" t="n">
        <v>46029</v>
      </c>
      <c r="E457" s="1" t="n">
        <v>46217</v>
      </c>
      <c r="F457" t="inlineStr">
        <is>
          <t>KRONOBERGS LÄN</t>
        </is>
      </c>
      <c r="G457" t="inlineStr">
        <is>
          <t>UPPVIDINGE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39239-2023</t>
        </is>
      </c>
      <c r="B458" t="inlineStr">
        <is>
          <t>avverkningsanmälan</t>
        </is>
      </c>
      <c r="C458" t="inlineStr">
        <is>
          <t>Föryngringsavverkning</t>
        </is>
      </c>
      <c r="D458" s="1" t="n">
        <v>45162</v>
      </c>
      <c r="E458" s="1" t="n">
        <v>46217</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22682-2026</t>
        </is>
      </c>
      <c r="B459" t="inlineStr">
        <is>
          <t>avverkningsanmälan</t>
        </is>
      </c>
      <c r="C459" t="inlineStr">
        <is>
          <t>Föryngringsavverkning</t>
        </is>
      </c>
      <c r="D459" s="1" t="n">
        <v>46156</v>
      </c>
      <c r="E459" s="1" t="n">
        <v>46217</v>
      </c>
      <c r="F459" t="inlineStr">
        <is>
          <t>KRONOBERGS LÄN</t>
        </is>
      </c>
      <c r="G459" t="inlineStr">
        <is>
          <t>UPPVIDINGE</t>
        </is>
      </c>
      <c r="H459" t="inlineStr">
        <is>
          <t>Sveaskog</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503-2026</t>
        </is>
      </c>
      <c r="B460" t="inlineStr">
        <is>
          <t>avverkningsanmälan</t>
        </is>
      </c>
      <c r="C460" t="inlineStr">
        <is>
          <t>Föryngringsavverkning</t>
        </is>
      </c>
      <c r="D460" s="1" t="n">
        <v>46029</v>
      </c>
      <c r="E460" s="1" t="n">
        <v>46217</v>
      </c>
      <c r="F460" t="inlineStr">
        <is>
          <t>KRONOBERGS LÄN</t>
        </is>
      </c>
      <c r="G460" t="inlineStr">
        <is>
          <t>UPPVIDINGE</t>
        </is>
      </c>
      <c r="I460" t="n">
        <v>3.5</v>
      </c>
      <c r="J460" t="n">
        <v>0</v>
      </c>
      <c r="K460" t="n">
        <v>0</v>
      </c>
      <c r="L460" t="n">
        <v>0</v>
      </c>
      <c r="M460" t="n">
        <v>0</v>
      </c>
      <c r="N460" t="n">
        <v>0</v>
      </c>
      <c r="O460" t="n">
        <v>0</v>
      </c>
      <c r="P460" t="n">
        <v>0</v>
      </c>
      <c r="Q460" t="n">
        <v>0</v>
      </c>
      <c r="R460" t="n">
        <v>0</v>
      </c>
      <c r="S460" t="n">
        <v>0</v>
      </c>
      <c r="T460" t="n">
        <v>0</v>
      </c>
      <c r="U460" s="2" t="inlineStr"/>
    </row>
    <row r="461" ht="15" customHeight="1">
      <c r="A461" t="inlineStr">
        <is>
          <t>A 36870-2023</t>
        </is>
      </c>
      <c r="B461" t="inlineStr">
        <is>
          <t>avverkningsanmälan</t>
        </is>
      </c>
      <c r="C461" t="inlineStr">
        <is>
          <t>Föryngringsavverkning</t>
        </is>
      </c>
      <c r="D461" s="1" t="n">
        <v>45154</v>
      </c>
      <c r="E461" s="1" t="n">
        <v>46217</v>
      </c>
      <c r="F461" t="inlineStr">
        <is>
          <t>KRONOBERGS LÄN</t>
        </is>
      </c>
      <c r="G461" t="inlineStr">
        <is>
          <t>UPPVIDINGE</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67714-2021</t>
        </is>
      </c>
      <c r="B462" t="inlineStr">
        <is>
          <t>avverkningsanmälan</t>
        </is>
      </c>
      <c r="C462" t="inlineStr">
        <is>
          <t>Föryngringsavverkning</t>
        </is>
      </c>
      <c r="D462" s="1" t="n">
        <v>44524</v>
      </c>
      <c r="E462" s="1" t="n">
        <v>46217</v>
      </c>
      <c r="F462" t="inlineStr">
        <is>
          <t>KRONOBERGS LÄN</t>
        </is>
      </c>
      <c r="G462" t="inlineStr">
        <is>
          <t>UPPVIDINGE</t>
        </is>
      </c>
      <c r="H462" t="inlineStr">
        <is>
          <t>Kyrkan</t>
        </is>
      </c>
      <c r="I462" t="n">
        <v>18.8</v>
      </c>
      <c r="J462" t="n">
        <v>0</v>
      </c>
      <c r="K462" t="n">
        <v>0</v>
      </c>
      <c r="L462" t="n">
        <v>0</v>
      </c>
      <c r="M462" t="n">
        <v>0</v>
      </c>
      <c r="N462" t="n">
        <v>0</v>
      </c>
      <c r="O462" t="n">
        <v>0</v>
      </c>
      <c r="P462" t="n">
        <v>0</v>
      </c>
      <c r="Q462" t="n">
        <v>0</v>
      </c>
      <c r="R462" t="n">
        <v>0</v>
      </c>
      <c r="S462" t="n">
        <v>0</v>
      </c>
      <c r="T462" t="n">
        <v>0</v>
      </c>
      <c r="U462" s="2" t="inlineStr"/>
    </row>
    <row r="463" ht="15" customHeight="1">
      <c r="A463" t="inlineStr">
        <is>
          <t>A 67618-2021</t>
        </is>
      </c>
      <c r="B463" t="inlineStr">
        <is>
          <t>avverkningsanmälan</t>
        </is>
      </c>
      <c r="C463" t="inlineStr">
        <is>
          <t>Föryngringsavverkning</t>
        </is>
      </c>
      <c r="D463" s="1" t="n">
        <v>44524</v>
      </c>
      <c r="E463" s="1" t="n">
        <v>46217</v>
      </c>
      <c r="F463" t="inlineStr">
        <is>
          <t>KRONOBERGS LÄN</t>
        </is>
      </c>
      <c r="G463" t="inlineStr">
        <is>
          <t>UPPVIDINGE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35388-2023</t>
        </is>
      </c>
      <c r="B464" t="inlineStr">
        <is>
          <t>avverkningsanmälan</t>
        </is>
      </c>
      <c r="C464" t="inlineStr">
        <is>
          <t>Föryngringsavverkning</t>
        </is>
      </c>
      <c r="D464" s="1" t="n">
        <v>45146</v>
      </c>
      <c r="E464" s="1" t="n">
        <v>46217</v>
      </c>
      <c r="F464" t="inlineStr">
        <is>
          <t>KRONOBERGS LÄN</t>
        </is>
      </c>
      <c r="G464" t="inlineStr">
        <is>
          <t>UPPVIDINGE</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1415-2026</t>
        </is>
      </c>
      <c r="B465" t="inlineStr">
        <is>
          <t>avverkningsanmälan</t>
        </is>
      </c>
      <c r="C465" t="inlineStr">
        <is>
          <t>Föryngringsavverkning</t>
        </is>
      </c>
      <c r="D465" s="1" t="n">
        <v>46031</v>
      </c>
      <c r="E465" s="1" t="n">
        <v>46217</v>
      </c>
      <c r="F465" t="inlineStr">
        <is>
          <t>KRONOBERGS LÄN</t>
        </is>
      </c>
      <c r="G465" t="inlineStr">
        <is>
          <t>UPPVIDINGE</t>
        </is>
      </c>
      <c r="H465" t="inlineStr">
        <is>
          <t>Sveaskog</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48240-2024</t>
        </is>
      </c>
      <c r="B466" t="inlineStr">
        <is>
          <t>avverkningsanmälan</t>
        </is>
      </c>
      <c r="C466" t="inlineStr">
        <is>
          <t>Föryngringsavverkning</t>
        </is>
      </c>
      <c r="D466" s="1" t="n">
        <v>45590</v>
      </c>
      <c r="E466" s="1" t="n">
        <v>46217</v>
      </c>
      <c r="F466" t="inlineStr">
        <is>
          <t>KRONOBERGS LÄN</t>
        </is>
      </c>
      <c r="G466" t="inlineStr">
        <is>
          <t>UPPVIDINGE</t>
        </is>
      </c>
      <c r="I466" t="n">
        <v>0.3</v>
      </c>
      <c r="J466" t="n">
        <v>0</v>
      </c>
      <c r="K466" t="n">
        <v>0</v>
      </c>
      <c r="L466" t="n">
        <v>0</v>
      </c>
      <c r="M466" t="n">
        <v>0</v>
      </c>
      <c r="N466" t="n">
        <v>0</v>
      </c>
      <c r="O466" t="n">
        <v>0</v>
      </c>
      <c r="P466" t="n">
        <v>0</v>
      </c>
      <c r="Q466" t="n">
        <v>0</v>
      </c>
      <c r="R466" t="n">
        <v>0</v>
      </c>
      <c r="S466" t="n">
        <v>0</v>
      </c>
      <c r="T466" t="n">
        <v>0</v>
      </c>
      <c r="U466" s="2" t="inlineStr"/>
    </row>
    <row r="467" ht="15" customHeight="1">
      <c r="A467" t="inlineStr">
        <is>
          <t>A 31767-2023</t>
        </is>
      </c>
      <c r="B467" t="inlineStr">
        <is>
          <t>avverkningsanmälan</t>
        </is>
      </c>
      <c r="C467" t="inlineStr">
        <is>
          <t>Föryngringsavverkning</t>
        </is>
      </c>
      <c r="D467" s="1" t="n">
        <v>45118</v>
      </c>
      <c r="E467" s="1" t="n">
        <v>46217</v>
      </c>
      <c r="F467" t="inlineStr">
        <is>
          <t>KRONOBERGS LÄN</t>
        </is>
      </c>
      <c r="G467" t="inlineStr">
        <is>
          <t>UPPVIDINGE</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1483-2026</t>
        </is>
      </c>
      <c r="B468" t="inlineStr">
        <is>
          <t>avverkningsanmälan</t>
        </is>
      </c>
      <c r="C468" t="inlineStr">
        <is>
          <t>Föryngringsavverkning</t>
        </is>
      </c>
      <c r="D468" s="1" t="n">
        <v>46033</v>
      </c>
      <c r="E468" s="1" t="n">
        <v>46217</v>
      </c>
      <c r="F468" t="inlineStr">
        <is>
          <t>KRONOBERGS LÄN</t>
        </is>
      </c>
      <c r="G468" t="inlineStr">
        <is>
          <t>UPPVIDINGE</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8551-2024</t>
        </is>
      </c>
      <c r="B469" t="inlineStr">
        <is>
          <t>avverkningsanmälan</t>
        </is>
      </c>
      <c r="C469" t="inlineStr">
        <is>
          <t>Föryngringsavverkning</t>
        </is>
      </c>
      <c r="D469" s="1" t="n">
        <v>45355</v>
      </c>
      <c r="E469" s="1" t="n">
        <v>46217</v>
      </c>
      <c r="F469" t="inlineStr">
        <is>
          <t>KRONOBERGS LÄN</t>
        </is>
      </c>
      <c r="G469" t="inlineStr">
        <is>
          <t>UPPVIDINGE</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1604-2026</t>
        </is>
      </c>
      <c r="B470" t="inlineStr">
        <is>
          <t>avverkningsanmälan</t>
        </is>
      </c>
      <c r="C470" t="inlineStr">
        <is>
          <t>Föryngringsavverkning</t>
        </is>
      </c>
      <c r="D470" s="1" t="n">
        <v>46034</v>
      </c>
      <c r="E470" s="1" t="n">
        <v>46217</v>
      </c>
      <c r="F470" t="inlineStr">
        <is>
          <t>KRONOBERGS LÄN</t>
        </is>
      </c>
      <c r="G470" t="inlineStr">
        <is>
          <t>UPPVIDINGE</t>
        </is>
      </c>
      <c r="I470" t="n">
        <v>3.9</v>
      </c>
      <c r="J470" t="n">
        <v>0</v>
      </c>
      <c r="K470" t="n">
        <v>0</v>
      </c>
      <c r="L470" t="n">
        <v>0</v>
      </c>
      <c r="M470" t="n">
        <v>0</v>
      </c>
      <c r="N470" t="n">
        <v>0</v>
      </c>
      <c r="O470" t="n">
        <v>0</v>
      </c>
      <c r="P470" t="n">
        <v>0</v>
      </c>
      <c r="Q470" t="n">
        <v>0</v>
      </c>
      <c r="R470" t="n">
        <v>0</v>
      </c>
      <c r="S470" t="n">
        <v>0</v>
      </c>
      <c r="T470" t="n">
        <v>0</v>
      </c>
      <c r="U470" s="2" t="inlineStr"/>
    </row>
    <row r="471" ht="15" customHeight="1">
      <c r="A471" t="inlineStr">
        <is>
          <t>A 11029-2024</t>
        </is>
      </c>
      <c r="B471" t="inlineStr">
        <is>
          <t>avverkningsanmälan</t>
        </is>
      </c>
      <c r="C471" t="inlineStr">
        <is>
          <t>Föryngringsavverkning</t>
        </is>
      </c>
      <c r="D471" s="1" t="n">
        <v>45370</v>
      </c>
      <c r="E471" s="1" t="n">
        <v>46217</v>
      </c>
      <c r="F471" t="inlineStr">
        <is>
          <t>KRONOBERGS LÄN</t>
        </is>
      </c>
      <c r="G471" t="inlineStr">
        <is>
          <t>UPPVIDINGE</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52657-2024</t>
        </is>
      </c>
      <c r="B472" t="inlineStr">
        <is>
          <t>avverkningsanmälan</t>
        </is>
      </c>
      <c r="C472" t="inlineStr">
        <is>
          <t>Föryngringsavverkning</t>
        </is>
      </c>
      <c r="D472" s="1" t="n">
        <v>45610</v>
      </c>
      <c r="E472" s="1" t="n">
        <v>46217</v>
      </c>
      <c r="F472" t="inlineStr">
        <is>
          <t>KRONOBERGS LÄN</t>
        </is>
      </c>
      <c r="G472" t="inlineStr">
        <is>
          <t>UPPVIDINGE</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22683-2026</t>
        </is>
      </c>
      <c r="B473" t="inlineStr">
        <is>
          <t>avverkningsanmälan</t>
        </is>
      </c>
      <c r="C473" t="inlineStr">
        <is>
          <t>Föryngringsavverkning</t>
        </is>
      </c>
      <c r="D473" s="1" t="n">
        <v>46156</v>
      </c>
      <c r="E473" s="1" t="n">
        <v>46217</v>
      </c>
      <c r="F473" t="inlineStr">
        <is>
          <t>KRONOBERGS LÄN</t>
        </is>
      </c>
      <c r="G473" t="inlineStr">
        <is>
          <t>UPPVIDINGE</t>
        </is>
      </c>
      <c r="H473" t="inlineStr">
        <is>
          <t>Sveaskog</t>
        </is>
      </c>
      <c r="I473" t="n">
        <v>4</v>
      </c>
      <c r="J473" t="n">
        <v>0</v>
      </c>
      <c r="K473" t="n">
        <v>0</v>
      </c>
      <c r="L473" t="n">
        <v>0</v>
      </c>
      <c r="M473" t="n">
        <v>0</v>
      </c>
      <c r="N473" t="n">
        <v>0</v>
      </c>
      <c r="O473" t="n">
        <v>0</v>
      </c>
      <c r="P473" t="n">
        <v>0</v>
      </c>
      <c r="Q473" t="n">
        <v>0</v>
      </c>
      <c r="R473" t="n">
        <v>0</v>
      </c>
      <c r="S473" t="n">
        <v>0</v>
      </c>
      <c r="T473" t="n">
        <v>0</v>
      </c>
      <c r="U473" s="2" t="inlineStr"/>
    </row>
    <row r="474" ht="15" customHeight="1">
      <c r="A474" t="inlineStr">
        <is>
          <t>A 22684-2026</t>
        </is>
      </c>
      <c r="B474" t="inlineStr">
        <is>
          <t>avverkningsanmälan</t>
        </is>
      </c>
      <c r="C474" t="inlineStr">
        <is>
          <t>Föryngringsavverkning</t>
        </is>
      </c>
      <c r="D474" s="1" t="n">
        <v>46156</v>
      </c>
      <c r="E474" s="1" t="n">
        <v>46217</v>
      </c>
      <c r="F474" t="inlineStr">
        <is>
          <t>KRONOBERGS LÄN</t>
        </is>
      </c>
      <c r="G474" t="inlineStr">
        <is>
          <t>UPPVIDINGE</t>
        </is>
      </c>
      <c r="H474" t="inlineStr">
        <is>
          <t>Sveaskog</t>
        </is>
      </c>
      <c r="I474" t="n">
        <v>3.6</v>
      </c>
      <c r="J474" t="n">
        <v>0</v>
      </c>
      <c r="K474" t="n">
        <v>0</v>
      </c>
      <c r="L474" t="n">
        <v>0</v>
      </c>
      <c r="M474" t="n">
        <v>0</v>
      </c>
      <c r="N474" t="n">
        <v>0</v>
      </c>
      <c r="O474" t="n">
        <v>0</v>
      </c>
      <c r="P474" t="n">
        <v>0</v>
      </c>
      <c r="Q474" t="n">
        <v>0</v>
      </c>
      <c r="R474" t="n">
        <v>0</v>
      </c>
      <c r="S474" t="n">
        <v>0</v>
      </c>
      <c r="T474" t="n">
        <v>0</v>
      </c>
      <c r="U474" s="2" t="inlineStr"/>
    </row>
    <row r="475" ht="15" customHeight="1">
      <c r="A475" t="inlineStr">
        <is>
          <t>A 15386-2022</t>
        </is>
      </c>
      <c r="B475" t="inlineStr">
        <is>
          <t>avverkningsanmälan</t>
        </is>
      </c>
      <c r="C475" t="inlineStr">
        <is>
          <t>Föryngringsavverkning</t>
        </is>
      </c>
      <c r="D475" s="1" t="n">
        <v>44659</v>
      </c>
      <c r="E475" s="1" t="n">
        <v>46217</v>
      </c>
      <c r="F475" t="inlineStr">
        <is>
          <t>KRONOBERGS LÄN</t>
        </is>
      </c>
      <c r="G475" t="inlineStr">
        <is>
          <t>UPPVIDINGE</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22687-2026</t>
        </is>
      </c>
      <c r="B476" t="inlineStr">
        <is>
          <t>avverkningsanmälan</t>
        </is>
      </c>
      <c r="C476" t="inlineStr">
        <is>
          <t>Föryngringsavverkning</t>
        </is>
      </c>
      <c r="D476" s="1" t="n">
        <v>46156</v>
      </c>
      <c r="E476" s="1" t="n">
        <v>46217</v>
      </c>
      <c r="F476" t="inlineStr">
        <is>
          <t>KRONOBERGS LÄN</t>
        </is>
      </c>
      <c r="G476" t="inlineStr">
        <is>
          <t>UPPVIDINGE</t>
        </is>
      </c>
      <c r="H476" t="inlineStr">
        <is>
          <t>Sveaskog</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3333-2026</t>
        </is>
      </c>
      <c r="B477" t="inlineStr">
        <is>
          <t>avverkningsanmälan</t>
        </is>
      </c>
      <c r="C477" t="inlineStr">
        <is>
          <t>Föryngringsavverkning</t>
        </is>
      </c>
      <c r="D477" s="1" t="n">
        <v>46041</v>
      </c>
      <c r="E477" s="1" t="n">
        <v>46217</v>
      </c>
      <c r="F477" t="inlineStr">
        <is>
          <t>KRONOBERGS LÄN</t>
        </is>
      </c>
      <c r="G477" t="inlineStr">
        <is>
          <t>UPPVIDINGE</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3075-2026</t>
        </is>
      </c>
      <c r="B478" t="inlineStr">
        <is>
          <t>avverkningsanmälan</t>
        </is>
      </c>
      <c r="C478" t="inlineStr">
        <is>
          <t>Föryngringsavverkning</t>
        </is>
      </c>
      <c r="D478" s="1" t="n">
        <v>46040</v>
      </c>
      <c r="E478" s="1" t="n">
        <v>46217</v>
      </c>
      <c r="F478" t="inlineStr">
        <is>
          <t>KRONOBERGS LÄN</t>
        </is>
      </c>
      <c r="G478" t="inlineStr">
        <is>
          <t>UPPVIDINGE</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28953-2026</t>
        </is>
      </c>
      <c r="B479" t="inlineStr">
        <is>
          <t>avverkningsanmälan</t>
        </is>
      </c>
      <c r="C479" t="inlineStr">
        <is>
          <t>Föryngringsavverkning</t>
        </is>
      </c>
      <c r="D479" s="1" t="n">
        <v>46199</v>
      </c>
      <c r="E479" s="1" t="n">
        <v>46217</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8359-2022</t>
        </is>
      </c>
      <c r="B480" t="inlineStr">
        <is>
          <t>avverkningsanmälan</t>
        </is>
      </c>
      <c r="C480" t="inlineStr">
        <is>
          <t>Föryngringsavverkning</t>
        </is>
      </c>
      <c r="D480" s="1" t="n">
        <v>44610</v>
      </c>
      <c r="E480" s="1" t="n">
        <v>46217</v>
      </c>
      <c r="F480" t="inlineStr">
        <is>
          <t>KRONOBERGS LÄN</t>
        </is>
      </c>
      <c r="G480" t="inlineStr">
        <is>
          <t>UPPVIDINGE</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2884-2025</t>
        </is>
      </c>
      <c r="B481" t="inlineStr">
        <is>
          <t>avverkningsanmälan</t>
        </is>
      </c>
      <c r="C481" t="inlineStr">
        <is>
          <t>Föryngringsavverkning</t>
        </is>
      </c>
      <c r="D481" s="1" t="n">
        <v>45677</v>
      </c>
      <c r="E481" s="1" t="n">
        <v>46217</v>
      </c>
      <c r="F481" t="inlineStr">
        <is>
          <t>KRONOBERGS LÄN</t>
        </is>
      </c>
      <c r="G481" t="inlineStr">
        <is>
          <t>UPPVIDINGE</t>
        </is>
      </c>
      <c r="I481" t="n">
        <v>5.3</v>
      </c>
      <c r="J481" t="n">
        <v>0</v>
      </c>
      <c r="K481" t="n">
        <v>0</v>
      </c>
      <c r="L481" t="n">
        <v>0</v>
      </c>
      <c r="M481" t="n">
        <v>0</v>
      </c>
      <c r="N481" t="n">
        <v>0</v>
      </c>
      <c r="O481" t="n">
        <v>0</v>
      </c>
      <c r="P481" t="n">
        <v>0</v>
      </c>
      <c r="Q481" t="n">
        <v>0</v>
      </c>
      <c r="R481" t="n">
        <v>0</v>
      </c>
      <c r="S481" t="n">
        <v>0</v>
      </c>
      <c r="T481" t="n">
        <v>0</v>
      </c>
      <c r="U481" s="2" t="inlineStr"/>
    </row>
    <row r="482" ht="15" customHeight="1">
      <c r="A482" t="inlineStr">
        <is>
          <t>A 4780-2026</t>
        </is>
      </c>
      <c r="B482" t="inlineStr">
        <is>
          <t>avverkningsanmälan</t>
        </is>
      </c>
      <c r="C482" t="inlineStr">
        <is>
          <t>Föryngringsavverkning</t>
        </is>
      </c>
      <c r="D482" s="1" t="n">
        <v>46048</v>
      </c>
      <c r="E482" s="1" t="n">
        <v>46217</v>
      </c>
      <c r="F482" t="inlineStr">
        <is>
          <t>KRONOBERGS LÄN</t>
        </is>
      </c>
      <c r="G482" t="inlineStr">
        <is>
          <t>UPPVIDINGE</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4781-2026</t>
        </is>
      </c>
      <c r="B483" t="inlineStr">
        <is>
          <t>avverkningsanmälan</t>
        </is>
      </c>
      <c r="C483" t="inlineStr">
        <is>
          <t>Föryngringsavverkning</t>
        </is>
      </c>
      <c r="D483" s="1" t="n">
        <v>46048</v>
      </c>
      <c r="E483" s="1" t="n">
        <v>46217</v>
      </c>
      <c r="F483" t="inlineStr">
        <is>
          <t>KRONOBERGS LÄN</t>
        </is>
      </c>
      <c r="G483" t="inlineStr">
        <is>
          <t>UPPVIDINGE</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28981-2026</t>
        </is>
      </c>
      <c r="B484" t="inlineStr">
        <is>
          <t>avverkningsanmälan</t>
        </is>
      </c>
      <c r="C484" t="inlineStr">
        <is>
          <t>Föryngringsavverkning</t>
        </is>
      </c>
      <c r="D484" s="1" t="n">
        <v>46196</v>
      </c>
      <c r="E484" s="1" t="n">
        <v>46217</v>
      </c>
      <c r="F484" t="inlineStr">
        <is>
          <t>KRONOBERGS LÄN</t>
        </is>
      </c>
      <c r="G484" t="inlineStr">
        <is>
          <t>UPPVIDINGE</t>
        </is>
      </c>
      <c r="H484" t="inlineStr">
        <is>
          <t>Kyrkan</t>
        </is>
      </c>
      <c r="I484" t="n">
        <v>7.1</v>
      </c>
      <c r="J484" t="n">
        <v>0</v>
      </c>
      <c r="K484" t="n">
        <v>0</v>
      </c>
      <c r="L484" t="n">
        <v>0</v>
      </c>
      <c r="M484" t="n">
        <v>0</v>
      </c>
      <c r="N484" t="n">
        <v>0</v>
      </c>
      <c r="O484" t="n">
        <v>0</v>
      </c>
      <c r="P484" t="n">
        <v>0</v>
      </c>
      <c r="Q484" t="n">
        <v>0</v>
      </c>
      <c r="R484" t="n">
        <v>0</v>
      </c>
      <c r="S484" t="n">
        <v>0</v>
      </c>
      <c r="T484" t="n">
        <v>0</v>
      </c>
      <c r="U484" s="2" t="inlineStr"/>
    </row>
    <row r="485" ht="15" customHeight="1">
      <c r="A485" t="inlineStr">
        <is>
          <t>A 60043-2024</t>
        </is>
      </c>
      <c r="B485" t="inlineStr">
        <is>
          <t>avverkningsanmälan</t>
        </is>
      </c>
      <c r="C485" t="inlineStr">
        <is>
          <t>Föryngringsavverkning</t>
        </is>
      </c>
      <c r="D485" s="1" t="n">
        <v>45642</v>
      </c>
      <c r="E485" s="1" t="n">
        <v>46217</v>
      </c>
      <c r="F485" t="inlineStr">
        <is>
          <t>KRONOBERGS LÄN</t>
        </is>
      </c>
      <c r="G485" t="inlineStr">
        <is>
          <t>UPPVIDINGE</t>
        </is>
      </c>
      <c r="H485" t="inlineStr">
        <is>
          <t>Sveaskog</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5504-2026</t>
        </is>
      </c>
      <c r="B486" t="inlineStr">
        <is>
          <t>avverkningsanmälan</t>
        </is>
      </c>
      <c r="C486" t="inlineStr">
        <is>
          <t>Föryngringsavverkning</t>
        </is>
      </c>
      <c r="D486" s="1" t="n">
        <v>46050</v>
      </c>
      <c r="E486" s="1" t="n">
        <v>46217</v>
      </c>
      <c r="F486" t="inlineStr">
        <is>
          <t>KRONOBERGS LÄN</t>
        </is>
      </c>
      <c r="G486" t="inlineStr">
        <is>
          <t>UPPVIDINGE</t>
        </is>
      </c>
      <c r="H486" t="inlineStr">
        <is>
          <t>Sveaskog</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49812-2024</t>
        </is>
      </c>
      <c r="B487" t="inlineStr">
        <is>
          <t>avverkningsanmälan</t>
        </is>
      </c>
      <c r="C487" t="inlineStr">
        <is>
          <t>Föryngringsavverkning</t>
        </is>
      </c>
      <c r="D487" s="1" t="n">
        <v>45597</v>
      </c>
      <c r="E487" s="1" t="n">
        <v>46217</v>
      </c>
      <c r="F487" t="inlineStr">
        <is>
          <t>KRONOBERGS LÄN</t>
        </is>
      </c>
      <c r="G487" t="inlineStr">
        <is>
          <t>UPPVIDINGE</t>
        </is>
      </c>
      <c r="H487" t="inlineStr">
        <is>
          <t>Sveaskog</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45388-2022</t>
        </is>
      </c>
      <c r="B488" t="inlineStr">
        <is>
          <t>avverkningsanmälan</t>
        </is>
      </c>
      <c r="C488" t="inlineStr">
        <is>
          <t>Föryngringsavverkning</t>
        </is>
      </c>
      <c r="D488" s="1" t="n">
        <v>44844</v>
      </c>
      <c r="E488" s="1" t="n">
        <v>46217</v>
      </c>
      <c r="F488" t="inlineStr">
        <is>
          <t>KRONOBERGS LÄN</t>
        </is>
      </c>
      <c r="G488" t="inlineStr">
        <is>
          <t>UPPVIDINGE</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5540-2026</t>
        </is>
      </c>
      <c r="B489" t="inlineStr">
        <is>
          <t>avverkningsanmälan</t>
        </is>
      </c>
      <c r="C489" t="inlineStr">
        <is>
          <t>Föryngringsavverkning</t>
        </is>
      </c>
      <c r="D489" s="1" t="n">
        <v>46050</v>
      </c>
      <c r="E489" s="1" t="n">
        <v>46217</v>
      </c>
      <c r="F489" t="inlineStr">
        <is>
          <t>KRONOBERGS LÄN</t>
        </is>
      </c>
      <c r="G489" t="inlineStr">
        <is>
          <t>UPPVIDINGE</t>
        </is>
      </c>
      <c r="H489" t="inlineStr">
        <is>
          <t>Sveaskog</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5828-2026</t>
        </is>
      </c>
      <c r="B490" t="inlineStr">
        <is>
          <t>avverkningsanmälan</t>
        </is>
      </c>
      <c r="C490" t="inlineStr">
        <is>
          <t>Föryngringsavverkning</t>
        </is>
      </c>
      <c r="D490" s="1" t="n">
        <v>46052</v>
      </c>
      <c r="E490" s="1" t="n">
        <v>46217</v>
      </c>
      <c r="F490" t="inlineStr">
        <is>
          <t>KRONOBERGS LÄN</t>
        </is>
      </c>
      <c r="G490" t="inlineStr">
        <is>
          <t>UPPVIDINGE</t>
        </is>
      </c>
      <c r="H490" t="inlineStr">
        <is>
          <t>Sveaskog</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5850-2026</t>
        </is>
      </c>
      <c r="B491" t="inlineStr">
        <is>
          <t>avverkningsanmälan</t>
        </is>
      </c>
      <c r="C491" t="inlineStr">
        <is>
          <t>Föryngringsavverkning</t>
        </is>
      </c>
      <c r="D491" s="1" t="n">
        <v>46052</v>
      </c>
      <c r="E491" s="1" t="n">
        <v>46217</v>
      </c>
      <c r="F491" t="inlineStr">
        <is>
          <t>KRONOBERGS LÄN</t>
        </is>
      </c>
      <c r="G491" t="inlineStr">
        <is>
          <t>UPPVIDINGE</t>
        </is>
      </c>
      <c r="H491" t="inlineStr">
        <is>
          <t>Sveaskog</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5998-2026</t>
        </is>
      </c>
      <c r="B492" t="inlineStr">
        <is>
          <t>avverkningsanmälan</t>
        </is>
      </c>
      <c r="C492" t="inlineStr">
        <is>
          <t>Föryngringsavverkning</t>
        </is>
      </c>
      <c r="D492" s="1" t="n">
        <v>46052</v>
      </c>
      <c r="E492" s="1" t="n">
        <v>46217</v>
      </c>
      <c r="F492" t="inlineStr">
        <is>
          <t>KRONOBERGS LÄN</t>
        </is>
      </c>
      <c r="G492" t="inlineStr">
        <is>
          <t>UPPVIDINGE</t>
        </is>
      </c>
      <c r="I492" t="n">
        <v>3.2</v>
      </c>
      <c r="J492" t="n">
        <v>0</v>
      </c>
      <c r="K492" t="n">
        <v>0</v>
      </c>
      <c r="L492" t="n">
        <v>0</v>
      </c>
      <c r="M492" t="n">
        <v>0</v>
      </c>
      <c r="N492" t="n">
        <v>0</v>
      </c>
      <c r="O492" t="n">
        <v>0</v>
      </c>
      <c r="P492" t="n">
        <v>0</v>
      </c>
      <c r="Q492" t="n">
        <v>0</v>
      </c>
      <c r="R492" t="n">
        <v>0</v>
      </c>
      <c r="S492" t="n">
        <v>0</v>
      </c>
      <c r="T492" t="n">
        <v>0</v>
      </c>
      <c r="U492" s="2" t="inlineStr"/>
    </row>
    <row r="493" ht="15" customHeight="1">
      <c r="A493" t="inlineStr">
        <is>
          <t>A 5837-2026</t>
        </is>
      </c>
      <c r="B493" t="inlineStr">
        <is>
          <t>avverkningsanmälan</t>
        </is>
      </c>
      <c r="C493" t="inlineStr">
        <is>
          <t>Föryngringsavverkning</t>
        </is>
      </c>
      <c r="D493" s="1" t="n">
        <v>46052</v>
      </c>
      <c r="E493" s="1" t="n">
        <v>46217</v>
      </c>
      <c r="F493" t="inlineStr">
        <is>
          <t>KRONOBERGS LÄN</t>
        </is>
      </c>
      <c r="G493" t="inlineStr">
        <is>
          <t>UPPVIDINGE</t>
        </is>
      </c>
      <c r="H493" t="inlineStr">
        <is>
          <t>Sveaskog</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5867-2026</t>
        </is>
      </c>
      <c r="B494" t="inlineStr">
        <is>
          <t>avverkningsanmälan</t>
        </is>
      </c>
      <c r="C494" t="inlineStr">
        <is>
          <t>Föryngringsavverkning</t>
        </is>
      </c>
      <c r="D494" s="1" t="n">
        <v>46052</v>
      </c>
      <c r="E494" s="1" t="n">
        <v>46217</v>
      </c>
      <c r="F494" t="inlineStr">
        <is>
          <t>KRONOBERGS LÄN</t>
        </is>
      </c>
      <c r="G494" t="inlineStr">
        <is>
          <t>UPPVIDINGE</t>
        </is>
      </c>
      <c r="H494" t="inlineStr">
        <is>
          <t>Sveaskog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11424-2024</t>
        </is>
      </c>
      <c r="B495" t="inlineStr">
        <is>
          <t>avverkningsanmälan</t>
        </is>
      </c>
      <c r="C495" t="inlineStr">
        <is>
          <t>Föryngringsavverkning</t>
        </is>
      </c>
      <c r="D495" s="1" t="n">
        <v>45372</v>
      </c>
      <c r="E495" s="1" t="n">
        <v>46217</v>
      </c>
      <c r="F495" t="inlineStr">
        <is>
          <t>KRONOBERGS LÄN</t>
        </is>
      </c>
      <c r="G495" t="inlineStr">
        <is>
          <t>UPPVIDINGE</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A 5847-2026</t>
        </is>
      </c>
      <c r="B496" t="inlineStr">
        <is>
          <t>avverkningsanmälan</t>
        </is>
      </c>
      <c r="C496" t="inlineStr">
        <is>
          <t>Föryngringsavverkning</t>
        </is>
      </c>
      <c r="D496" s="1" t="n">
        <v>46052</v>
      </c>
      <c r="E496" s="1" t="n">
        <v>46217</v>
      </c>
      <c r="F496" t="inlineStr">
        <is>
          <t>KRONOBERGS LÄN</t>
        </is>
      </c>
      <c r="G496" t="inlineStr">
        <is>
          <t>UPPVIDINGE</t>
        </is>
      </c>
      <c r="H496" t="inlineStr">
        <is>
          <t>Sveaskog</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5852-2026</t>
        </is>
      </c>
      <c r="B497" t="inlineStr">
        <is>
          <t>avverkningsanmälan</t>
        </is>
      </c>
      <c r="C497" t="inlineStr">
        <is>
          <t>Föryngringsavverkning</t>
        </is>
      </c>
      <c r="D497" s="1" t="n">
        <v>46052</v>
      </c>
      <c r="E497" s="1" t="n">
        <v>46217</v>
      </c>
      <c r="F497" t="inlineStr">
        <is>
          <t>KRONOBERGS LÄN</t>
        </is>
      </c>
      <c r="G497" t="inlineStr">
        <is>
          <t>UPPVIDINGE</t>
        </is>
      </c>
      <c r="H497" t="inlineStr">
        <is>
          <t>Sveaskog</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21262-2024</t>
        </is>
      </c>
      <c r="B498" t="inlineStr">
        <is>
          <t>avverkningsanmälan</t>
        </is>
      </c>
      <c r="C498" t="inlineStr">
        <is>
          <t>Avverkning för att bevara och utveckla /försöksver</t>
        </is>
      </c>
      <c r="D498" s="1" t="n">
        <v>45440</v>
      </c>
      <c r="E498" s="1" t="n">
        <v>46217</v>
      </c>
      <c r="F498" t="inlineStr">
        <is>
          <t>KRONOBERGS LÄN</t>
        </is>
      </c>
      <c r="G498" t="inlineStr">
        <is>
          <t>UPPVIDINGE</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40164-2023</t>
        </is>
      </c>
      <c r="B499" t="inlineStr">
        <is>
          <t>avverkningsanmälan</t>
        </is>
      </c>
      <c r="C499" t="inlineStr">
        <is>
          <t>Föryngringsavverkning</t>
        </is>
      </c>
      <c r="D499" s="1" t="n">
        <v>45169</v>
      </c>
      <c r="E499" s="1" t="n">
        <v>46217</v>
      </c>
      <c r="F499" t="inlineStr">
        <is>
          <t>KRONOBERGS LÄN</t>
        </is>
      </c>
      <c r="G499" t="inlineStr">
        <is>
          <t>UPPVIDINGE</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51047-2023</t>
        </is>
      </c>
      <c r="B500" t="inlineStr">
        <is>
          <t>avverkningsanmälan</t>
        </is>
      </c>
      <c r="C500" t="inlineStr">
        <is>
          <t>Föryngringsavverkning</t>
        </is>
      </c>
      <c r="D500" s="1" t="n">
        <v>45218</v>
      </c>
      <c r="E500" s="1" t="n">
        <v>46217</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12290-2025</t>
        </is>
      </c>
      <c r="B501" t="inlineStr">
        <is>
          <t>avverkningsanmälan</t>
        </is>
      </c>
      <c r="C501" t="inlineStr">
        <is>
          <t>Föryngringsavverkning</t>
        </is>
      </c>
      <c r="D501" s="1" t="n">
        <v>45729</v>
      </c>
      <c r="E501" s="1" t="n">
        <v>46217</v>
      </c>
      <c r="F501" t="inlineStr">
        <is>
          <t>KRONOBERGS LÄN</t>
        </is>
      </c>
      <c r="G501" t="inlineStr">
        <is>
          <t>UPPVIDINGE</t>
        </is>
      </c>
      <c r="I501" t="n">
        <v>5.6</v>
      </c>
      <c r="J501" t="n">
        <v>0</v>
      </c>
      <c r="K501" t="n">
        <v>0</v>
      </c>
      <c r="L501" t="n">
        <v>0</v>
      </c>
      <c r="M501" t="n">
        <v>0</v>
      </c>
      <c r="N501" t="n">
        <v>0</v>
      </c>
      <c r="O501" t="n">
        <v>0</v>
      </c>
      <c r="P501" t="n">
        <v>0</v>
      </c>
      <c r="Q501" t="n">
        <v>0</v>
      </c>
      <c r="R501" t="n">
        <v>0</v>
      </c>
      <c r="S501" t="n">
        <v>0</v>
      </c>
      <c r="T501" t="n">
        <v>0</v>
      </c>
      <c r="U501" s="2" t="inlineStr"/>
    </row>
    <row r="502" ht="15" customHeight="1">
      <c r="A502" t="inlineStr">
        <is>
          <t>A 11422-2024</t>
        </is>
      </c>
      <c r="B502" t="inlineStr">
        <is>
          <t>avverkningsanmälan</t>
        </is>
      </c>
      <c r="C502" t="inlineStr">
        <is>
          <t>Föryngringsavverkning</t>
        </is>
      </c>
      <c r="D502" s="1" t="n">
        <v>45372</v>
      </c>
      <c r="E502" s="1" t="n">
        <v>46217</v>
      </c>
      <c r="F502" t="inlineStr">
        <is>
          <t>KRONOBERGS LÄN</t>
        </is>
      </c>
      <c r="G502" t="inlineStr">
        <is>
          <t>UPPVIDINGE</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5036-2022</t>
        </is>
      </c>
      <c r="B503" t="inlineStr">
        <is>
          <t>avverkningsanmälan</t>
        </is>
      </c>
      <c r="C503" t="inlineStr">
        <is>
          <t>Föryngringsavverkning</t>
        </is>
      </c>
      <c r="D503" s="1" t="n">
        <v>44593</v>
      </c>
      <c r="E503" s="1" t="n">
        <v>46217</v>
      </c>
      <c r="F503" t="inlineStr">
        <is>
          <t>KRONOBERGS LÄN</t>
        </is>
      </c>
      <c r="G503" t="inlineStr">
        <is>
          <t>UPPVIDINGE</t>
        </is>
      </c>
      <c r="I503" t="n">
        <v>9.6</v>
      </c>
      <c r="J503" t="n">
        <v>0</v>
      </c>
      <c r="K503" t="n">
        <v>0</v>
      </c>
      <c r="L503" t="n">
        <v>0</v>
      </c>
      <c r="M503" t="n">
        <v>0</v>
      </c>
      <c r="N503" t="n">
        <v>0</v>
      </c>
      <c r="O503" t="n">
        <v>0</v>
      </c>
      <c r="P503" t="n">
        <v>0</v>
      </c>
      <c r="Q503" t="n">
        <v>0</v>
      </c>
      <c r="R503" t="n">
        <v>0</v>
      </c>
      <c r="S503" t="n">
        <v>0</v>
      </c>
      <c r="T503" t="n">
        <v>0</v>
      </c>
      <c r="U503" s="2" t="inlineStr"/>
    </row>
    <row r="504" ht="15" customHeight="1">
      <c r="A504" t="inlineStr">
        <is>
          <t>A 46076-2023</t>
        </is>
      </c>
      <c r="B504" t="inlineStr">
        <is>
          <t>avverkningsanmälan</t>
        </is>
      </c>
      <c r="C504" t="inlineStr">
        <is>
          <t>Föryngringsavverkning</t>
        </is>
      </c>
      <c r="D504" s="1" t="n">
        <v>45196</v>
      </c>
      <c r="E504" s="1" t="n">
        <v>46217</v>
      </c>
      <c r="F504" t="inlineStr">
        <is>
          <t>KRONOBERGS LÄN</t>
        </is>
      </c>
      <c r="G504" t="inlineStr">
        <is>
          <t>UPPVIDINGE</t>
        </is>
      </c>
      <c r="I504" t="n">
        <v>5</v>
      </c>
      <c r="J504" t="n">
        <v>0</v>
      </c>
      <c r="K504" t="n">
        <v>0</v>
      </c>
      <c r="L504" t="n">
        <v>0</v>
      </c>
      <c r="M504" t="n">
        <v>0</v>
      </c>
      <c r="N504" t="n">
        <v>0</v>
      </c>
      <c r="O504" t="n">
        <v>0</v>
      </c>
      <c r="P504" t="n">
        <v>0</v>
      </c>
      <c r="Q504" t="n">
        <v>0</v>
      </c>
      <c r="R504" t="n">
        <v>0</v>
      </c>
      <c r="S504" t="n">
        <v>0</v>
      </c>
      <c r="T504" t="n">
        <v>0</v>
      </c>
      <c r="U504" s="2" t="inlineStr"/>
    </row>
    <row r="505" ht="15" customHeight="1">
      <c r="A505" t="inlineStr">
        <is>
          <t>A 15756-2024</t>
        </is>
      </c>
      <c r="B505" t="inlineStr">
        <is>
          <t>avverkningsanmälan</t>
        </is>
      </c>
      <c r="C505" t="inlineStr">
        <is>
          <t>Föryngringsavverkning</t>
        </is>
      </c>
      <c r="D505" s="1" t="n">
        <v>45404</v>
      </c>
      <c r="E505" s="1" t="n">
        <v>46217</v>
      </c>
      <c r="F505" t="inlineStr">
        <is>
          <t>KRONOBERGS LÄN</t>
        </is>
      </c>
      <c r="G505" t="inlineStr">
        <is>
          <t>UPPVIDINGE</t>
        </is>
      </c>
      <c r="I505" t="n">
        <v>0.2</v>
      </c>
      <c r="J505" t="n">
        <v>0</v>
      </c>
      <c r="K505" t="n">
        <v>0</v>
      </c>
      <c r="L505" t="n">
        <v>0</v>
      </c>
      <c r="M505" t="n">
        <v>0</v>
      </c>
      <c r="N505" t="n">
        <v>0</v>
      </c>
      <c r="O505" t="n">
        <v>0</v>
      </c>
      <c r="P505" t="n">
        <v>0</v>
      </c>
      <c r="Q505" t="n">
        <v>0</v>
      </c>
      <c r="R505" t="n">
        <v>0</v>
      </c>
      <c r="S505" t="n">
        <v>0</v>
      </c>
      <c r="T505" t="n">
        <v>0</v>
      </c>
      <c r="U505" s="2" t="inlineStr"/>
    </row>
    <row r="506" ht="15" customHeight="1">
      <c r="A506" t="inlineStr">
        <is>
          <t>A 7142-2026</t>
        </is>
      </c>
      <c r="B506" t="inlineStr">
        <is>
          <t>avverkningsanmälan</t>
        </is>
      </c>
      <c r="C506" t="inlineStr">
        <is>
          <t>Föryngringsavverkning</t>
        </is>
      </c>
      <c r="D506" s="1" t="n">
        <v>46058</v>
      </c>
      <c r="E506" s="1" t="n">
        <v>46217</v>
      </c>
      <c r="F506" t="inlineStr">
        <is>
          <t>KRONOBERGS LÄN</t>
        </is>
      </c>
      <c r="G506" t="inlineStr">
        <is>
          <t>UPPVIDINGE</t>
        </is>
      </c>
      <c r="H506" t="inlineStr">
        <is>
          <t>Sveaskog</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7046-2026</t>
        </is>
      </c>
      <c r="B507" t="inlineStr">
        <is>
          <t>avverkningsanmälan</t>
        </is>
      </c>
      <c r="C507" t="inlineStr">
        <is>
          <t>Föryngringsavverkning</t>
        </is>
      </c>
      <c r="D507" s="1" t="n">
        <v>46057</v>
      </c>
      <c r="E507" s="1" t="n">
        <v>46217</v>
      </c>
      <c r="F507" t="inlineStr">
        <is>
          <t>KRONOBERGS LÄN</t>
        </is>
      </c>
      <c r="G507" t="inlineStr">
        <is>
          <t>UPPVIDINGE</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7140-2026</t>
        </is>
      </c>
      <c r="B508" t="inlineStr">
        <is>
          <t>avverkningsanmälan</t>
        </is>
      </c>
      <c r="C508" t="inlineStr">
        <is>
          <t>Föryngringsavverkning</t>
        </is>
      </c>
      <c r="D508" s="1" t="n">
        <v>46058</v>
      </c>
      <c r="E508" s="1" t="n">
        <v>46217</v>
      </c>
      <c r="F508" t="inlineStr">
        <is>
          <t>KRONOBERGS LÄN</t>
        </is>
      </c>
      <c r="G508" t="inlineStr">
        <is>
          <t>UPPVIDINGE</t>
        </is>
      </c>
      <c r="H508" t="inlineStr">
        <is>
          <t>Sveaskog</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7251-2026</t>
        </is>
      </c>
      <c r="B509" t="inlineStr">
        <is>
          <t>avverkningsanmälan</t>
        </is>
      </c>
      <c r="C509" t="inlineStr">
        <is>
          <t>Föryngringsavverkning</t>
        </is>
      </c>
      <c r="D509" s="1" t="n">
        <v>46058</v>
      </c>
      <c r="E509" s="1" t="n">
        <v>46217</v>
      </c>
      <c r="F509" t="inlineStr">
        <is>
          <t>KRONOBERGS LÄN</t>
        </is>
      </c>
      <c r="G509" t="inlineStr">
        <is>
          <t>UPPVIDINGE</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29548-2026</t>
        </is>
      </c>
      <c r="B510" t="inlineStr">
        <is>
          <t>avverkningsanmälan</t>
        </is>
      </c>
      <c r="C510" t="inlineStr">
        <is>
          <t>Föryngringsavverkning</t>
        </is>
      </c>
      <c r="D510" s="1" t="n">
        <v>46203</v>
      </c>
      <c r="E510" s="1" t="n">
        <v>46217</v>
      </c>
      <c r="F510" t="inlineStr">
        <is>
          <t>KRONOBERGS LÄN</t>
        </is>
      </c>
      <c r="G510" t="inlineStr">
        <is>
          <t>UPPVIDINGE</t>
        </is>
      </c>
      <c r="H510" t="inlineStr">
        <is>
          <t>Sveaskog</t>
        </is>
      </c>
      <c r="I510" t="n">
        <v>3.9</v>
      </c>
      <c r="J510" t="n">
        <v>0</v>
      </c>
      <c r="K510" t="n">
        <v>0</v>
      </c>
      <c r="L510" t="n">
        <v>0</v>
      </c>
      <c r="M510" t="n">
        <v>0</v>
      </c>
      <c r="N510" t="n">
        <v>0</v>
      </c>
      <c r="O510" t="n">
        <v>0</v>
      </c>
      <c r="P510" t="n">
        <v>0</v>
      </c>
      <c r="Q510" t="n">
        <v>0</v>
      </c>
      <c r="R510" t="n">
        <v>0</v>
      </c>
      <c r="S510" t="n">
        <v>0</v>
      </c>
      <c r="T510" t="n">
        <v>0</v>
      </c>
      <c r="U510" s="2" t="inlineStr"/>
    </row>
    <row r="511" ht="15" customHeight="1">
      <c r="A511" t="inlineStr">
        <is>
          <t>A 38858-2024</t>
        </is>
      </c>
      <c r="B511" t="inlineStr">
        <is>
          <t>avverkningsanmälan</t>
        </is>
      </c>
      <c r="C511" t="inlineStr">
        <is>
          <t>Avverkning för annat ändamål</t>
        </is>
      </c>
      <c r="D511" s="1" t="n">
        <v>45547</v>
      </c>
      <c r="E511" s="1" t="n">
        <v>46217</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s="2" t="inlineStr"/>
    </row>
    <row r="512" ht="15" customHeight="1">
      <c r="A512" t="inlineStr">
        <is>
          <t>A 51836-2023</t>
        </is>
      </c>
      <c r="B512" t="inlineStr">
        <is>
          <t>avverkningsanmälan</t>
        </is>
      </c>
      <c r="C512" t="inlineStr">
        <is>
          <t>Föryngringsavverkning</t>
        </is>
      </c>
      <c r="D512" s="1" t="n">
        <v>45223</v>
      </c>
      <c r="E512" s="1" t="n">
        <v>46217</v>
      </c>
      <c r="F512" t="inlineStr">
        <is>
          <t>KRONOBERGS LÄN</t>
        </is>
      </c>
      <c r="G512" t="inlineStr">
        <is>
          <t>UPPVIDINGE</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7843-2026</t>
        </is>
      </c>
      <c r="B513" t="inlineStr">
        <is>
          <t>avverkningsanmälan</t>
        </is>
      </c>
      <c r="C513" t="inlineStr">
        <is>
          <t>Föryngringsavverkning</t>
        </is>
      </c>
      <c r="D513" s="1" t="n">
        <v>46062</v>
      </c>
      <c r="E513" s="1" t="n">
        <v>46217</v>
      </c>
      <c r="F513" t="inlineStr">
        <is>
          <t>KRONOBERGS LÄN</t>
        </is>
      </c>
      <c r="G513" t="inlineStr">
        <is>
          <t>UPPVIDINGE</t>
        </is>
      </c>
      <c r="I513" t="n">
        <v>6.6</v>
      </c>
      <c r="J513" t="n">
        <v>0</v>
      </c>
      <c r="K513" t="n">
        <v>0</v>
      </c>
      <c r="L513" t="n">
        <v>0</v>
      </c>
      <c r="M513" t="n">
        <v>0</v>
      </c>
      <c r="N513" t="n">
        <v>0</v>
      </c>
      <c r="O513" t="n">
        <v>0</v>
      </c>
      <c r="P513" t="n">
        <v>0</v>
      </c>
      <c r="Q513" t="n">
        <v>0</v>
      </c>
      <c r="R513" t="n">
        <v>0</v>
      </c>
      <c r="S513" t="n">
        <v>0</v>
      </c>
      <c r="T513" t="n">
        <v>0</v>
      </c>
      <c r="U513" s="2" t="inlineStr"/>
    </row>
    <row r="514" ht="15" customHeight="1">
      <c r="A514" t="inlineStr">
        <is>
          <t>A 795-2022</t>
        </is>
      </c>
      <c r="B514" t="inlineStr">
        <is>
          <t>avverkningsanmälan</t>
        </is>
      </c>
      <c r="C514" t="inlineStr">
        <is>
          <t>Föryngringsavverkning</t>
        </is>
      </c>
      <c r="D514" s="1" t="n">
        <v>44566</v>
      </c>
      <c r="E514" s="1" t="n">
        <v>46217</v>
      </c>
      <c r="F514" t="inlineStr">
        <is>
          <t>KRONOBERGS LÄN</t>
        </is>
      </c>
      <c r="G514" t="inlineStr">
        <is>
          <t>UPPVIDINGE</t>
        </is>
      </c>
      <c r="I514" t="n">
        <v>3.3</v>
      </c>
      <c r="J514" t="n">
        <v>0</v>
      </c>
      <c r="K514" t="n">
        <v>0</v>
      </c>
      <c r="L514" t="n">
        <v>0</v>
      </c>
      <c r="M514" t="n">
        <v>0</v>
      </c>
      <c r="N514" t="n">
        <v>0</v>
      </c>
      <c r="O514" t="n">
        <v>0</v>
      </c>
      <c r="P514" t="n">
        <v>0</v>
      </c>
      <c r="Q514" t="n">
        <v>0</v>
      </c>
      <c r="R514" t="n">
        <v>0</v>
      </c>
      <c r="S514" t="n">
        <v>0</v>
      </c>
      <c r="T514" t="n">
        <v>0</v>
      </c>
      <c r="U514" s="2" t="inlineStr"/>
    </row>
    <row r="515" ht="15" customHeight="1">
      <c r="A515" t="inlineStr">
        <is>
          <t>A 581-2025</t>
        </is>
      </c>
      <c r="B515" t="inlineStr">
        <is>
          <t>avverkningsanmälan</t>
        </is>
      </c>
      <c r="C515" t="inlineStr">
        <is>
          <t>Föryngringsavverkning</t>
        </is>
      </c>
      <c r="D515" s="1" t="n">
        <v>45664</v>
      </c>
      <c r="E515" s="1" t="n">
        <v>46217</v>
      </c>
      <c r="F515" t="inlineStr">
        <is>
          <t>KRONOBERGS LÄN</t>
        </is>
      </c>
      <c r="G515" t="inlineStr">
        <is>
          <t>UPPVIDINGE</t>
        </is>
      </c>
      <c r="I515" t="n">
        <v>6.7</v>
      </c>
      <c r="J515" t="n">
        <v>0</v>
      </c>
      <c r="K515" t="n">
        <v>0</v>
      </c>
      <c r="L515" t="n">
        <v>0</v>
      </c>
      <c r="M515" t="n">
        <v>0</v>
      </c>
      <c r="N515" t="n">
        <v>0</v>
      </c>
      <c r="O515" t="n">
        <v>0</v>
      </c>
      <c r="P515" t="n">
        <v>0</v>
      </c>
      <c r="Q515" t="n">
        <v>0</v>
      </c>
      <c r="R515" t="n">
        <v>0</v>
      </c>
      <c r="S515" t="n">
        <v>0</v>
      </c>
      <c r="T515" t="n">
        <v>0</v>
      </c>
      <c r="U515" s="2" t="inlineStr"/>
    </row>
    <row r="516" ht="15" customHeight="1">
      <c r="A516" t="inlineStr">
        <is>
          <t>A 20538-2023</t>
        </is>
      </c>
      <c r="B516" t="inlineStr">
        <is>
          <t>avverkningsanmälan</t>
        </is>
      </c>
      <c r="C516" t="inlineStr">
        <is>
          <t>Föryngringsavverkning</t>
        </is>
      </c>
      <c r="D516" s="1" t="n">
        <v>45057</v>
      </c>
      <c r="E516" s="1" t="n">
        <v>46217</v>
      </c>
      <c r="F516" t="inlineStr">
        <is>
          <t>KRONOBERGS LÄN</t>
        </is>
      </c>
      <c r="G516" t="inlineStr">
        <is>
          <t>UPPVIDINGE</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31565-2023</t>
        </is>
      </c>
      <c r="B517" t="inlineStr">
        <is>
          <t>avverkningsanmälan</t>
        </is>
      </c>
      <c r="C517" t="inlineStr">
        <is>
          <t>Föryngringsavverkning</t>
        </is>
      </c>
      <c r="D517" s="1" t="n">
        <v>45117</v>
      </c>
      <c r="E517" s="1" t="n">
        <v>46217</v>
      </c>
      <c r="F517" t="inlineStr">
        <is>
          <t>KRONOBERGS LÄN</t>
        </is>
      </c>
      <c r="G517" t="inlineStr">
        <is>
          <t>UPPVIDINGE</t>
        </is>
      </c>
      <c r="I517" t="n">
        <v>6.9</v>
      </c>
      <c r="J517" t="n">
        <v>0</v>
      </c>
      <c r="K517" t="n">
        <v>0</v>
      </c>
      <c r="L517" t="n">
        <v>0</v>
      </c>
      <c r="M517" t="n">
        <v>0</v>
      </c>
      <c r="N517" t="n">
        <v>0</v>
      </c>
      <c r="O517" t="n">
        <v>0</v>
      </c>
      <c r="P517" t="n">
        <v>0</v>
      </c>
      <c r="Q517" t="n">
        <v>0</v>
      </c>
      <c r="R517" t="n">
        <v>0</v>
      </c>
      <c r="S517" t="n">
        <v>0</v>
      </c>
      <c r="T517" t="n">
        <v>0</v>
      </c>
      <c r="U517" s="2" t="inlineStr"/>
    </row>
    <row r="518" ht="15" customHeight="1">
      <c r="A518" t="inlineStr">
        <is>
          <t>A 23367-2026</t>
        </is>
      </c>
      <c r="B518" t="inlineStr">
        <is>
          <t>avverkningsanmälan</t>
        </is>
      </c>
      <c r="C518" t="inlineStr">
        <is>
          <t>Föryngringsavverkning</t>
        </is>
      </c>
      <c r="D518" s="1" t="n">
        <v>46162</v>
      </c>
      <c r="E518" s="1" t="n">
        <v>46217</v>
      </c>
      <c r="F518" t="inlineStr">
        <is>
          <t>KRONOBERGS LÄN</t>
        </is>
      </c>
      <c r="G518" t="inlineStr">
        <is>
          <t>UPPVIDINGE</t>
        </is>
      </c>
      <c r="I518" t="n">
        <v>7.7</v>
      </c>
      <c r="J518" t="n">
        <v>0</v>
      </c>
      <c r="K518" t="n">
        <v>0</v>
      </c>
      <c r="L518" t="n">
        <v>0</v>
      </c>
      <c r="M518" t="n">
        <v>0</v>
      </c>
      <c r="N518" t="n">
        <v>0</v>
      </c>
      <c r="O518" t="n">
        <v>0</v>
      </c>
      <c r="P518" t="n">
        <v>0</v>
      </c>
      <c r="Q518" t="n">
        <v>0</v>
      </c>
      <c r="R518" t="n">
        <v>0</v>
      </c>
      <c r="S518" t="n">
        <v>0</v>
      </c>
      <c r="T518" t="n">
        <v>0</v>
      </c>
      <c r="U518" s="2" t="inlineStr"/>
    </row>
    <row r="519" ht="15" customHeight="1">
      <c r="A519" t="inlineStr">
        <is>
          <t>A 49373-2023</t>
        </is>
      </c>
      <c r="B519" t="inlineStr">
        <is>
          <t>avverkningsanmälan</t>
        </is>
      </c>
      <c r="C519" t="inlineStr">
        <is>
          <t>Föryngringsavverkning</t>
        </is>
      </c>
      <c r="D519" s="1" t="n">
        <v>45211</v>
      </c>
      <c r="E519" s="1" t="n">
        <v>46217</v>
      </c>
      <c r="F519" t="inlineStr">
        <is>
          <t>KRONOBERGS LÄN</t>
        </is>
      </c>
      <c r="G519" t="inlineStr">
        <is>
          <t>UPPVIDINGE</t>
        </is>
      </c>
      <c r="I519" t="n">
        <v>2.9</v>
      </c>
      <c r="J519" t="n">
        <v>0</v>
      </c>
      <c r="K519" t="n">
        <v>0</v>
      </c>
      <c r="L519" t="n">
        <v>0</v>
      </c>
      <c r="M519" t="n">
        <v>0</v>
      </c>
      <c r="N519" t="n">
        <v>0</v>
      </c>
      <c r="O519" t="n">
        <v>0</v>
      </c>
      <c r="P519" t="n">
        <v>0</v>
      </c>
      <c r="Q519" t="n">
        <v>0</v>
      </c>
      <c r="R519" t="n">
        <v>0</v>
      </c>
      <c r="S519" t="n">
        <v>0</v>
      </c>
      <c r="T519" t="n">
        <v>0</v>
      </c>
      <c r="U519" s="2" t="inlineStr"/>
    </row>
    <row r="520" ht="15" customHeight="1">
      <c r="A520" t="inlineStr">
        <is>
          <t>A 4797-2025</t>
        </is>
      </c>
      <c r="B520" t="inlineStr">
        <is>
          <t>avverkningsanmälan</t>
        </is>
      </c>
      <c r="C520" t="inlineStr">
        <is>
          <t>Föryngringsavverkning</t>
        </is>
      </c>
      <c r="D520" s="1" t="n">
        <v>45688</v>
      </c>
      <c r="E520" s="1" t="n">
        <v>46217</v>
      </c>
      <c r="F520" t="inlineStr">
        <is>
          <t>KRONOBERGS LÄN</t>
        </is>
      </c>
      <c r="G520" t="inlineStr">
        <is>
          <t>UPPVIDINGE</t>
        </is>
      </c>
      <c r="H520" t="inlineStr">
        <is>
          <t>Sveaskog</t>
        </is>
      </c>
      <c r="I520" t="n">
        <v>20.5</v>
      </c>
      <c r="J520" t="n">
        <v>0</v>
      </c>
      <c r="K520" t="n">
        <v>0</v>
      </c>
      <c r="L520" t="n">
        <v>0</v>
      </c>
      <c r="M520" t="n">
        <v>0</v>
      </c>
      <c r="N520" t="n">
        <v>0</v>
      </c>
      <c r="O520" t="n">
        <v>0</v>
      </c>
      <c r="P520" t="n">
        <v>0</v>
      </c>
      <c r="Q520" t="n">
        <v>0</v>
      </c>
      <c r="R520" t="n">
        <v>0</v>
      </c>
      <c r="S520" t="n">
        <v>0</v>
      </c>
      <c r="T520" t="n">
        <v>0</v>
      </c>
      <c r="U520" s="2" t="inlineStr"/>
    </row>
    <row r="521" ht="15" customHeight="1">
      <c r="A521" t="inlineStr">
        <is>
          <t>A 29870-2023</t>
        </is>
      </c>
      <c r="B521" t="inlineStr">
        <is>
          <t>avverkningsanmälan</t>
        </is>
      </c>
      <c r="C521" t="inlineStr">
        <is>
          <t>Föryngringsavverkning</t>
        </is>
      </c>
      <c r="D521" s="1" t="n">
        <v>45107</v>
      </c>
      <c r="E521" s="1" t="n">
        <v>46217</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45904-2023</t>
        </is>
      </c>
      <c r="B522" t="inlineStr">
        <is>
          <t>avverkningsanmälan</t>
        </is>
      </c>
      <c r="C522" t="inlineStr">
        <is>
          <t>Föryngringsavverkning</t>
        </is>
      </c>
      <c r="D522" s="1" t="n">
        <v>45195</v>
      </c>
      <c r="E522" s="1" t="n">
        <v>46217</v>
      </c>
      <c r="F522" t="inlineStr">
        <is>
          <t>KRONOBERGS LÄN</t>
        </is>
      </c>
      <c r="G522" t="inlineStr">
        <is>
          <t>UPPVIDINGE</t>
        </is>
      </c>
      <c r="I522" t="n">
        <v>10.3</v>
      </c>
      <c r="J522" t="n">
        <v>0</v>
      </c>
      <c r="K522" t="n">
        <v>0</v>
      </c>
      <c r="L522" t="n">
        <v>0</v>
      </c>
      <c r="M522" t="n">
        <v>0</v>
      </c>
      <c r="N522" t="n">
        <v>0</v>
      </c>
      <c r="O522" t="n">
        <v>0</v>
      </c>
      <c r="P522" t="n">
        <v>0</v>
      </c>
      <c r="Q522" t="n">
        <v>0</v>
      </c>
      <c r="R522" t="n">
        <v>0</v>
      </c>
      <c r="S522" t="n">
        <v>0</v>
      </c>
      <c r="T522" t="n">
        <v>0</v>
      </c>
      <c r="U522" s="2" t="inlineStr"/>
    </row>
    <row r="523" ht="15" customHeight="1">
      <c r="A523" t="inlineStr">
        <is>
          <t>A 9260-2026</t>
        </is>
      </c>
      <c r="B523" t="inlineStr">
        <is>
          <t>avverkningsanmälan</t>
        </is>
      </c>
      <c r="C523" t="inlineStr">
        <is>
          <t>Föryngringsavverkning</t>
        </is>
      </c>
      <c r="D523" s="1" t="n">
        <v>46069</v>
      </c>
      <c r="E523" s="1" t="n">
        <v>46217</v>
      </c>
      <c r="F523" t="inlineStr">
        <is>
          <t>KRONOBERGS LÄN</t>
        </is>
      </c>
      <c r="G523" t="inlineStr">
        <is>
          <t>UPPVIDINGE</t>
        </is>
      </c>
      <c r="H523" t="inlineStr">
        <is>
          <t>Kyrkan</t>
        </is>
      </c>
      <c r="I523" t="n">
        <v>8.800000000000001</v>
      </c>
      <c r="J523" t="n">
        <v>0</v>
      </c>
      <c r="K523" t="n">
        <v>0</v>
      </c>
      <c r="L523" t="n">
        <v>0</v>
      </c>
      <c r="M523" t="n">
        <v>0</v>
      </c>
      <c r="N523" t="n">
        <v>0</v>
      </c>
      <c r="O523" t="n">
        <v>0</v>
      </c>
      <c r="P523" t="n">
        <v>0</v>
      </c>
      <c r="Q523" t="n">
        <v>0</v>
      </c>
      <c r="R523" t="n">
        <v>0</v>
      </c>
      <c r="S523" t="n">
        <v>0</v>
      </c>
      <c r="T523" t="n">
        <v>0</v>
      </c>
      <c r="U523" s="2" t="inlineStr"/>
    </row>
    <row r="524" ht="15" customHeight="1">
      <c r="A524" t="inlineStr">
        <is>
          <t>A 9535-2026</t>
        </is>
      </c>
      <c r="B524" t="inlineStr">
        <is>
          <t>avverkningsanmälan</t>
        </is>
      </c>
      <c r="C524" t="inlineStr">
        <is>
          <t>Föryngringsavverkning</t>
        </is>
      </c>
      <c r="D524" s="1" t="n">
        <v>46071</v>
      </c>
      <c r="E524" s="1" t="n">
        <v>46217</v>
      </c>
      <c r="F524" t="inlineStr">
        <is>
          <t>KRONOBERGS LÄN</t>
        </is>
      </c>
      <c r="G524" t="inlineStr">
        <is>
          <t>UPPVIDINGE</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9532-2026</t>
        </is>
      </c>
      <c r="B525" t="inlineStr">
        <is>
          <t>avverkningsanmälan</t>
        </is>
      </c>
      <c r="C525" t="inlineStr">
        <is>
          <t>Föryngringsavverkning</t>
        </is>
      </c>
      <c r="D525" s="1" t="n">
        <v>46071</v>
      </c>
      <c r="E525" s="1" t="n">
        <v>46217</v>
      </c>
      <c r="F525" t="inlineStr">
        <is>
          <t>KRONOBERGS LÄN</t>
        </is>
      </c>
      <c r="G525" t="inlineStr">
        <is>
          <t>UPPVIDINGE</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17541-2025</t>
        </is>
      </c>
      <c r="B526" t="inlineStr">
        <is>
          <t>avverkningsanmälan</t>
        </is>
      </c>
      <c r="C526" t="inlineStr">
        <is>
          <t>Föryngringsavverkning</t>
        </is>
      </c>
      <c r="D526" s="1" t="n">
        <v>45757</v>
      </c>
      <c r="E526" s="1" t="n">
        <v>46217</v>
      </c>
      <c r="F526" t="inlineStr">
        <is>
          <t>KRONOBERGS LÄN</t>
        </is>
      </c>
      <c r="G526" t="inlineStr">
        <is>
          <t>UPPVIDINGE</t>
        </is>
      </c>
      <c r="H526" t="inlineStr">
        <is>
          <t>Kyrkan</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9489-2026</t>
        </is>
      </c>
      <c r="B527" t="inlineStr">
        <is>
          <t>avverkningsanmälan</t>
        </is>
      </c>
      <c r="C527" t="inlineStr">
        <is>
          <t>Föryngringsavverkning</t>
        </is>
      </c>
      <c r="D527" s="1" t="n">
        <v>46071</v>
      </c>
      <c r="E527" s="1" t="n">
        <v>46217</v>
      </c>
      <c r="F527" t="inlineStr">
        <is>
          <t>KRONOBERGS LÄN</t>
        </is>
      </c>
      <c r="G527" t="inlineStr">
        <is>
          <t>UPPVIDINGE</t>
        </is>
      </c>
      <c r="I527" t="n">
        <v>4</v>
      </c>
      <c r="J527" t="n">
        <v>0</v>
      </c>
      <c r="K527" t="n">
        <v>0</v>
      </c>
      <c r="L527" t="n">
        <v>0</v>
      </c>
      <c r="M527" t="n">
        <v>0</v>
      </c>
      <c r="N527" t="n">
        <v>0</v>
      </c>
      <c r="O527" t="n">
        <v>0</v>
      </c>
      <c r="P527" t="n">
        <v>0</v>
      </c>
      <c r="Q527" t="n">
        <v>0</v>
      </c>
      <c r="R527" t="n">
        <v>0</v>
      </c>
      <c r="S527" t="n">
        <v>0</v>
      </c>
      <c r="T527" t="n">
        <v>0</v>
      </c>
      <c r="U527" s="2" t="inlineStr"/>
    </row>
    <row r="528" ht="15" customHeight="1">
      <c r="A528" t="inlineStr">
        <is>
          <t>A 9499-2026</t>
        </is>
      </c>
      <c r="B528" t="inlineStr">
        <is>
          <t>avverkningsanmälan</t>
        </is>
      </c>
      <c r="C528" t="inlineStr">
        <is>
          <t>Föryngringsavverkning</t>
        </is>
      </c>
      <c r="D528" s="1" t="n">
        <v>46071</v>
      </c>
      <c r="E528" s="1" t="n">
        <v>46217</v>
      </c>
      <c r="F528" t="inlineStr">
        <is>
          <t>KRONOBERGS LÄN</t>
        </is>
      </c>
      <c r="G528" t="inlineStr">
        <is>
          <t>UPPVIDINGE</t>
        </is>
      </c>
      <c r="I528" t="n">
        <v>22.6</v>
      </c>
      <c r="J528" t="n">
        <v>0</v>
      </c>
      <c r="K528" t="n">
        <v>0</v>
      </c>
      <c r="L528" t="n">
        <v>0</v>
      </c>
      <c r="M528" t="n">
        <v>0</v>
      </c>
      <c r="N528" t="n">
        <v>0</v>
      </c>
      <c r="O528" t="n">
        <v>0</v>
      </c>
      <c r="P528" t="n">
        <v>0</v>
      </c>
      <c r="Q528" t="n">
        <v>0</v>
      </c>
      <c r="R528" t="n">
        <v>0</v>
      </c>
      <c r="S528" t="n">
        <v>0</v>
      </c>
      <c r="T528" t="n">
        <v>0</v>
      </c>
      <c r="U528" s="2" t="inlineStr"/>
    </row>
    <row r="529" ht="15" customHeight="1">
      <c r="A529" t="inlineStr">
        <is>
          <t>A 9459-2026</t>
        </is>
      </c>
      <c r="B529" t="inlineStr">
        <is>
          <t>avverkningsanmälan</t>
        </is>
      </c>
      <c r="C529" t="inlineStr">
        <is>
          <t>Föryngringsavverkning</t>
        </is>
      </c>
      <c r="D529" s="1" t="n">
        <v>46071</v>
      </c>
      <c r="E529" s="1" t="n">
        <v>46217</v>
      </c>
      <c r="F529" t="inlineStr">
        <is>
          <t>KRONOBERGS LÄN</t>
        </is>
      </c>
      <c r="G529" t="inlineStr">
        <is>
          <t>UPPVIDINGE</t>
        </is>
      </c>
      <c r="I529" t="n">
        <v>3.9</v>
      </c>
      <c r="J529" t="n">
        <v>0</v>
      </c>
      <c r="K529" t="n">
        <v>0</v>
      </c>
      <c r="L529" t="n">
        <v>0</v>
      </c>
      <c r="M529" t="n">
        <v>0</v>
      </c>
      <c r="N529" t="n">
        <v>0</v>
      </c>
      <c r="O529" t="n">
        <v>0</v>
      </c>
      <c r="P529" t="n">
        <v>0</v>
      </c>
      <c r="Q529" t="n">
        <v>0</v>
      </c>
      <c r="R529" t="n">
        <v>0</v>
      </c>
      <c r="S529" t="n">
        <v>0</v>
      </c>
      <c r="T529" t="n">
        <v>0</v>
      </c>
      <c r="U529" s="2" t="inlineStr"/>
    </row>
    <row r="530" ht="15" customHeight="1">
      <c r="A530" t="inlineStr">
        <is>
          <t>A 43500-2023</t>
        </is>
      </c>
      <c r="B530" t="inlineStr">
        <is>
          <t>avverkningsanmälan</t>
        </is>
      </c>
      <c r="C530" t="inlineStr">
        <is>
          <t>Föryngringsavverkning</t>
        </is>
      </c>
      <c r="D530" s="1" t="n">
        <v>45184</v>
      </c>
      <c r="E530" s="1" t="n">
        <v>46217</v>
      </c>
      <c r="F530" t="inlineStr">
        <is>
          <t>KRONOBERGS LÄN</t>
        </is>
      </c>
      <c r="G530" t="inlineStr">
        <is>
          <t>UPPVIDINGE</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29532-2026</t>
        </is>
      </c>
      <c r="B531" t="inlineStr">
        <is>
          <t>avverkningsanmälan</t>
        </is>
      </c>
      <c r="C531" t="inlineStr">
        <is>
          <t>Föryngringsavverkning</t>
        </is>
      </c>
      <c r="D531" s="1" t="n">
        <v>46203</v>
      </c>
      <c r="E531" s="1" t="n">
        <v>46217</v>
      </c>
      <c r="F531" t="inlineStr">
        <is>
          <t>KRONOBERGS LÄN</t>
        </is>
      </c>
      <c r="G531" t="inlineStr">
        <is>
          <t>UPPVIDINGE</t>
        </is>
      </c>
      <c r="H531" t="inlineStr">
        <is>
          <t>Sveaskog</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29533-2026</t>
        </is>
      </c>
      <c r="B532" t="inlineStr">
        <is>
          <t>avverkningsanmälan</t>
        </is>
      </c>
      <c r="C532" t="inlineStr">
        <is>
          <t>Föryngringsavverkning</t>
        </is>
      </c>
      <c r="D532" s="1" t="n">
        <v>46203</v>
      </c>
      <c r="E532" s="1" t="n">
        <v>46217</v>
      </c>
      <c r="F532" t="inlineStr">
        <is>
          <t>KRONOBERGS LÄN</t>
        </is>
      </c>
      <c r="G532" t="inlineStr">
        <is>
          <t>UPPVIDINGE</t>
        </is>
      </c>
      <c r="H532" t="inlineStr">
        <is>
          <t>Sveaskog</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29543-2026</t>
        </is>
      </c>
      <c r="B533" t="inlineStr">
        <is>
          <t>avverkningsanmälan</t>
        </is>
      </c>
      <c r="C533" t="inlineStr">
        <is>
          <t>Föryngringsavverkning</t>
        </is>
      </c>
      <c r="D533" s="1" t="n">
        <v>46203</v>
      </c>
      <c r="E533" s="1" t="n">
        <v>46217</v>
      </c>
      <c r="F533" t="inlineStr">
        <is>
          <t>KRONOBERGS LÄN</t>
        </is>
      </c>
      <c r="G533" t="inlineStr">
        <is>
          <t>UPPVIDINGE</t>
        </is>
      </c>
      <c r="H533" t="inlineStr">
        <is>
          <t>Sveaskog</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29547-2026</t>
        </is>
      </c>
      <c r="B534" t="inlineStr">
        <is>
          <t>avverkningsanmälan</t>
        </is>
      </c>
      <c r="C534" t="inlineStr">
        <is>
          <t>Föryngringsavverkning</t>
        </is>
      </c>
      <c r="D534" s="1" t="n">
        <v>46203</v>
      </c>
      <c r="E534" s="1" t="n">
        <v>46217</v>
      </c>
      <c r="F534" t="inlineStr">
        <is>
          <t>KRONOBERGS LÄN</t>
        </is>
      </c>
      <c r="G534" t="inlineStr">
        <is>
          <t>UPPVIDINGE</t>
        </is>
      </c>
      <c r="H534" t="inlineStr">
        <is>
          <t>Sveaskog</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24932-2023</t>
        </is>
      </c>
      <c r="B535" t="inlineStr">
        <is>
          <t>avverkningsanmälan</t>
        </is>
      </c>
      <c r="C535" t="inlineStr">
        <is>
          <t>Avverkning för annat ändamål</t>
        </is>
      </c>
      <c r="D535" s="1" t="n">
        <v>45085</v>
      </c>
      <c r="E535" s="1" t="n">
        <v>46217</v>
      </c>
      <c r="F535" t="inlineStr">
        <is>
          <t>KRONOBERGS LÄN</t>
        </is>
      </c>
      <c r="G535" t="inlineStr">
        <is>
          <t>UPPVIDINGE</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29544-2026</t>
        </is>
      </c>
      <c r="B536" t="inlineStr">
        <is>
          <t>avverkningsanmälan</t>
        </is>
      </c>
      <c r="C536" t="inlineStr">
        <is>
          <t>Föryngringsavverkning</t>
        </is>
      </c>
      <c r="D536" s="1" t="n">
        <v>46203</v>
      </c>
      <c r="E536" s="1" t="n">
        <v>46217</v>
      </c>
      <c r="F536" t="inlineStr">
        <is>
          <t>KRONOBERGS LÄN</t>
        </is>
      </c>
      <c r="G536" t="inlineStr">
        <is>
          <t>UPPVIDINGE</t>
        </is>
      </c>
      <c r="H536" t="inlineStr">
        <is>
          <t>Sveaskog</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29549-2026</t>
        </is>
      </c>
      <c r="B537" t="inlineStr">
        <is>
          <t>avverkningsanmälan</t>
        </is>
      </c>
      <c r="C537" t="inlineStr">
        <is>
          <t>Föryngringsavverkning</t>
        </is>
      </c>
      <c r="D537" s="1" t="n">
        <v>46203</v>
      </c>
      <c r="E537" s="1" t="n">
        <v>46217</v>
      </c>
      <c r="F537" t="inlineStr">
        <is>
          <t>KRONOBERGS LÄN</t>
        </is>
      </c>
      <c r="G537" t="inlineStr">
        <is>
          <t>UPPVIDINGE</t>
        </is>
      </c>
      <c r="H537" t="inlineStr">
        <is>
          <t>Sveaskog</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24489-2024</t>
        </is>
      </c>
      <c r="B538" t="inlineStr">
        <is>
          <t>avverkningsanmälan</t>
        </is>
      </c>
      <c r="C538" t="inlineStr">
        <is>
          <t>Föryngringsavverkning</t>
        </is>
      </c>
      <c r="D538" s="1" t="n">
        <v>45459</v>
      </c>
      <c r="E538" s="1" t="n">
        <v>46217</v>
      </c>
      <c r="F538" t="inlineStr">
        <is>
          <t>KRONOBERGS LÄN</t>
        </is>
      </c>
      <c r="G538" t="inlineStr">
        <is>
          <t>UPPVIDINGE</t>
        </is>
      </c>
      <c r="I538" t="n">
        <v>3.7</v>
      </c>
      <c r="J538" t="n">
        <v>0</v>
      </c>
      <c r="K538" t="n">
        <v>0</v>
      </c>
      <c r="L538" t="n">
        <v>0</v>
      </c>
      <c r="M538" t="n">
        <v>0</v>
      </c>
      <c r="N538" t="n">
        <v>0</v>
      </c>
      <c r="O538" t="n">
        <v>0</v>
      </c>
      <c r="P538" t="n">
        <v>0</v>
      </c>
      <c r="Q538" t="n">
        <v>0</v>
      </c>
      <c r="R538" t="n">
        <v>0</v>
      </c>
      <c r="S538" t="n">
        <v>0</v>
      </c>
      <c r="T538" t="n">
        <v>0</v>
      </c>
      <c r="U538" s="2" t="inlineStr"/>
    </row>
    <row r="539" ht="15" customHeight="1">
      <c r="A539" t="inlineStr">
        <is>
          <t>A 36603-2023</t>
        </is>
      </c>
      <c r="B539" t="inlineStr">
        <is>
          <t>avverkningsanmälan</t>
        </is>
      </c>
      <c r="C539" t="inlineStr">
        <is>
          <t>Avverkning för annat ändamål</t>
        </is>
      </c>
      <c r="D539" s="1" t="n">
        <v>45153</v>
      </c>
      <c r="E539" s="1" t="n">
        <v>46217</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41973-2023</t>
        </is>
      </c>
      <c r="B540" t="inlineStr">
        <is>
          <t>avverkningsanmälan</t>
        </is>
      </c>
      <c r="C540" t="inlineStr">
        <is>
          <t>Föryngringsavverkning</t>
        </is>
      </c>
      <c r="D540" s="1" t="n">
        <v>45174</v>
      </c>
      <c r="E540" s="1" t="n">
        <v>46217</v>
      </c>
      <c r="F540" t="inlineStr">
        <is>
          <t>KRONOBERGS LÄN</t>
        </is>
      </c>
      <c r="G540" t="inlineStr">
        <is>
          <t>UPPVIDINGE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29531-2026</t>
        </is>
      </c>
      <c r="B541" t="inlineStr">
        <is>
          <t>avverkningsanmälan</t>
        </is>
      </c>
      <c r="C541" t="inlineStr">
        <is>
          <t>Föryngringsavverkning</t>
        </is>
      </c>
      <c r="D541" s="1" t="n">
        <v>46203</v>
      </c>
      <c r="E541" s="1" t="n">
        <v>46217</v>
      </c>
      <c r="F541" t="inlineStr">
        <is>
          <t>KRONOBERGS LÄN</t>
        </is>
      </c>
      <c r="G541" t="inlineStr">
        <is>
          <t>UPPVIDINGE</t>
        </is>
      </c>
      <c r="H541" t="inlineStr">
        <is>
          <t>Sveaskog</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29537-2026</t>
        </is>
      </c>
      <c r="B542" t="inlineStr">
        <is>
          <t>avverkningsanmälan</t>
        </is>
      </c>
      <c r="C542" t="inlineStr">
        <is>
          <t>Föryngringsavverkning</t>
        </is>
      </c>
      <c r="D542" s="1" t="n">
        <v>46203</v>
      </c>
      <c r="E542" s="1" t="n">
        <v>46217</v>
      </c>
      <c r="F542" t="inlineStr">
        <is>
          <t>KRONOBERGS LÄN</t>
        </is>
      </c>
      <c r="G542" t="inlineStr">
        <is>
          <t>UPPVIDINGE</t>
        </is>
      </c>
      <c r="H542" t="inlineStr">
        <is>
          <t>Sveaskog</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29539-2026</t>
        </is>
      </c>
      <c r="B543" t="inlineStr">
        <is>
          <t>avverkningsanmälan</t>
        </is>
      </c>
      <c r="C543" t="inlineStr">
        <is>
          <t>Föryngringsavverkning</t>
        </is>
      </c>
      <c r="D543" s="1" t="n">
        <v>46203</v>
      </c>
      <c r="E543" s="1" t="n">
        <v>46217</v>
      </c>
      <c r="F543" t="inlineStr">
        <is>
          <t>KRONOBERGS LÄN</t>
        </is>
      </c>
      <c r="G543" t="inlineStr">
        <is>
          <t>UPPVIDINGE</t>
        </is>
      </c>
      <c r="H543" t="inlineStr">
        <is>
          <t>Sveaskog</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29536-2026</t>
        </is>
      </c>
      <c r="B544" t="inlineStr">
        <is>
          <t>avverkningsanmälan</t>
        </is>
      </c>
      <c r="C544" t="inlineStr">
        <is>
          <t>Föryngringsavverkning</t>
        </is>
      </c>
      <c r="D544" s="1" t="n">
        <v>46203</v>
      </c>
      <c r="E544" s="1" t="n">
        <v>46217</v>
      </c>
      <c r="F544" t="inlineStr">
        <is>
          <t>KRONOBERGS LÄN</t>
        </is>
      </c>
      <c r="G544" t="inlineStr">
        <is>
          <t>UPPVIDINGE</t>
        </is>
      </c>
      <c r="H544" t="inlineStr">
        <is>
          <t>Sveaskog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29540-2026</t>
        </is>
      </c>
      <c r="B545" t="inlineStr">
        <is>
          <t>avverkningsanmälan</t>
        </is>
      </c>
      <c r="C545" t="inlineStr">
        <is>
          <t>Föryngringsavverkning</t>
        </is>
      </c>
      <c r="D545" s="1" t="n">
        <v>46203</v>
      </c>
      <c r="E545" s="1" t="n">
        <v>46217</v>
      </c>
      <c r="F545" t="inlineStr">
        <is>
          <t>KRONOBERGS LÄN</t>
        </is>
      </c>
      <c r="G545" t="inlineStr">
        <is>
          <t>UPPVIDINGE</t>
        </is>
      </c>
      <c r="H545" t="inlineStr">
        <is>
          <t>Sveaskog</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29545-2026</t>
        </is>
      </c>
      <c r="B546" t="inlineStr">
        <is>
          <t>avverkningsanmälan</t>
        </is>
      </c>
      <c r="C546" t="inlineStr">
        <is>
          <t>Föryngringsavverkning</t>
        </is>
      </c>
      <c r="D546" s="1" t="n">
        <v>46203</v>
      </c>
      <c r="E546" s="1" t="n">
        <v>46217</v>
      </c>
      <c r="F546" t="inlineStr">
        <is>
          <t>KRONOBERGS LÄN</t>
        </is>
      </c>
      <c r="G546" t="inlineStr">
        <is>
          <t>UPPVIDINGE</t>
        </is>
      </c>
      <c r="H546" t="inlineStr">
        <is>
          <t>Sveaskog</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29546-2026</t>
        </is>
      </c>
      <c r="B547" t="inlineStr">
        <is>
          <t>avverkningsanmälan</t>
        </is>
      </c>
      <c r="C547" t="inlineStr">
        <is>
          <t>Föryngringsavverkning</t>
        </is>
      </c>
      <c r="D547" s="1" t="n">
        <v>46203</v>
      </c>
      <c r="E547" s="1" t="n">
        <v>46217</v>
      </c>
      <c r="F547" t="inlineStr">
        <is>
          <t>KRONOBERGS LÄN</t>
        </is>
      </c>
      <c r="G547" t="inlineStr">
        <is>
          <t>UPPVIDINGE</t>
        </is>
      </c>
      <c r="H547" t="inlineStr">
        <is>
          <t>Sveaskog</t>
        </is>
      </c>
      <c r="I547" t="n">
        <v>4.2</v>
      </c>
      <c r="J547" t="n">
        <v>0</v>
      </c>
      <c r="K547" t="n">
        <v>0</v>
      </c>
      <c r="L547" t="n">
        <v>0</v>
      </c>
      <c r="M547" t="n">
        <v>0</v>
      </c>
      <c r="N547" t="n">
        <v>0</v>
      </c>
      <c r="O547" t="n">
        <v>0</v>
      </c>
      <c r="P547" t="n">
        <v>0</v>
      </c>
      <c r="Q547" t="n">
        <v>0</v>
      </c>
      <c r="R547" t="n">
        <v>0</v>
      </c>
      <c r="S547" t="n">
        <v>0</v>
      </c>
      <c r="T547" t="n">
        <v>0</v>
      </c>
      <c r="U547" s="2" t="inlineStr"/>
    </row>
    <row r="548" ht="15" customHeight="1">
      <c r="A548" t="inlineStr">
        <is>
          <t>A 29550-2026</t>
        </is>
      </c>
      <c r="B548" t="inlineStr">
        <is>
          <t>avverkningsanmälan</t>
        </is>
      </c>
      <c r="C548" t="inlineStr">
        <is>
          <t>Föryngringsavverkning</t>
        </is>
      </c>
      <c r="D548" s="1" t="n">
        <v>46203</v>
      </c>
      <c r="E548" s="1" t="n">
        <v>46217</v>
      </c>
      <c r="F548" t="inlineStr">
        <is>
          <t>KRONOBERGS LÄN</t>
        </is>
      </c>
      <c r="G548" t="inlineStr">
        <is>
          <t>UPPVIDINGE</t>
        </is>
      </c>
      <c r="H548" t="inlineStr">
        <is>
          <t>Sveaskog</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29541-2026</t>
        </is>
      </c>
      <c r="B549" t="inlineStr">
        <is>
          <t>avverkningsanmälan</t>
        </is>
      </c>
      <c r="C549" t="inlineStr">
        <is>
          <t>Föryngringsavverkning</t>
        </is>
      </c>
      <c r="D549" s="1" t="n">
        <v>46203</v>
      </c>
      <c r="E549" s="1" t="n">
        <v>46217</v>
      </c>
      <c r="F549" t="inlineStr">
        <is>
          <t>KRONOBERGS LÄN</t>
        </is>
      </c>
      <c r="G549" t="inlineStr">
        <is>
          <t>UPPVIDINGE</t>
        </is>
      </c>
      <c r="H549" t="inlineStr">
        <is>
          <t>Sveaskog</t>
        </is>
      </c>
      <c r="I549" t="n">
        <v>0.4</v>
      </c>
      <c r="J549" t="n">
        <v>0</v>
      </c>
      <c r="K549" t="n">
        <v>0</v>
      </c>
      <c r="L549" t="n">
        <v>0</v>
      </c>
      <c r="M549" t="n">
        <v>0</v>
      </c>
      <c r="N549" t="n">
        <v>0</v>
      </c>
      <c r="O549" t="n">
        <v>0</v>
      </c>
      <c r="P549" t="n">
        <v>0</v>
      </c>
      <c r="Q549" t="n">
        <v>0</v>
      </c>
      <c r="R549" t="n">
        <v>0</v>
      </c>
      <c r="S549" t="n">
        <v>0</v>
      </c>
      <c r="T549" t="n">
        <v>0</v>
      </c>
      <c r="U549" s="2" t="inlineStr"/>
    </row>
    <row r="550" ht="15" customHeight="1">
      <c r="A550" t="inlineStr">
        <is>
          <t>A 29542-2026</t>
        </is>
      </c>
      <c r="B550" t="inlineStr">
        <is>
          <t>avverkningsanmälan</t>
        </is>
      </c>
      <c r="C550" t="inlineStr">
        <is>
          <t>Föryngringsavverkning</t>
        </is>
      </c>
      <c r="D550" s="1" t="n">
        <v>46203</v>
      </c>
      <c r="E550" s="1" t="n">
        <v>46217</v>
      </c>
      <c r="F550" t="inlineStr">
        <is>
          <t>KRONOBERGS LÄN</t>
        </is>
      </c>
      <c r="G550" t="inlineStr">
        <is>
          <t>UPPVIDINGE</t>
        </is>
      </c>
      <c r="H550" t="inlineStr">
        <is>
          <t>Sveaskog</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23620-2026</t>
        </is>
      </c>
      <c r="B551" t="inlineStr">
        <is>
          <t>avverkningsanmälan</t>
        </is>
      </c>
      <c r="C551" t="inlineStr">
        <is>
          <t>Föryngringsavverkning</t>
        </is>
      </c>
      <c r="D551" s="1" t="n">
        <v>46163</v>
      </c>
      <c r="E551" s="1" t="n">
        <v>46217</v>
      </c>
      <c r="F551" t="inlineStr">
        <is>
          <t>KRONOBERGS LÄN</t>
        </is>
      </c>
      <c r="G551" t="inlineStr">
        <is>
          <t>UPPVIDINGE</t>
        </is>
      </c>
      <c r="H551" t="inlineStr">
        <is>
          <t>Sveaskog</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30250-2026</t>
        </is>
      </c>
      <c r="B552" t="inlineStr">
        <is>
          <t>avverkningsanmälan</t>
        </is>
      </c>
      <c r="C552" t="inlineStr">
        <is>
          <t>Föryngringsavverkning</t>
        </is>
      </c>
      <c r="D552" s="1" t="n">
        <v>46206</v>
      </c>
      <c r="E552" s="1" t="n">
        <v>46217</v>
      </c>
      <c r="F552" t="inlineStr">
        <is>
          <t>KRONOBERGS LÄN</t>
        </is>
      </c>
      <c r="G552" t="inlineStr">
        <is>
          <t>UPPVIDINGE</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30251-2026</t>
        </is>
      </c>
      <c r="B553" t="inlineStr">
        <is>
          <t>avverkningsanmälan</t>
        </is>
      </c>
      <c r="C553" t="inlineStr">
        <is>
          <t>Föryngringsavverkning</t>
        </is>
      </c>
      <c r="D553" s="1" t="n">
        <v>46206</v>
      </c>
      <c r="E553" s="1" t="n">
        <v>46217</v>
      </c>
      <c r="F553" t="inlineStr">
        <is>
          <t>KRONOBERGS LÄN</t>
        </is>
      </c>
      <c r="G553" t="inlineStr">
        <is>
          <t>UPPVIDINGE</t>
        </is>
      </c>
      <c r="I553" t="n">
        <v>0.7</v>
      </c>
      <c r="J553" t="n">
        <v>0</v>
      </c>
      <c r="K553" t="n">
        <v>0</v>
      </c>
      <c r="L553" t="n">
        <v>0</v>
      </c>
      <c r="M553" t="n">
        <v>0</v>
      </c>
      <c r="N553" t="n">
        <v>0</v>
      </c>
      <c r="O553" t="n">
        <v>0</v>
      </c>
      <c r="P553" t="n">
        <v>0</v>
      </c>
      <c r="Q553" t="n">
        <v>0</v>
      </c>
      <c r="R553" t="n">
        <v>0</v>
      </c>
      <c r="S553" t="n">
        <v>0</v>
      </c>
      <c r="T553" t="n">
        <v>0</v>
      </c>
      <c r="U553" s="2" t="inlineStr"/>
    </row>
    <row r="554" ht="15" customHeight="1">
      <c r="A554" t="inlineStr">
        <is>
          <t>A 23384-2026</t>
        </is>
      </c>
      <c r="B554" t="inlineStr">
        <is>
          <t>avverkningsanmälan</t>
        </is>
      </c>
      <c r="C554" t="inlineStr">
        <is>
          <t>Föryngringsavverkning</t>
        </is>
      </c>
      <c r="D554" s="1" t="n">
        <v>46162</v>
      </c>
      <c r="E554" s="1" t="n">
        <v>46217</v>
      </c>
      <c r="F554" t="inlineStr">
        <is>
          <t>KRONOBERGS LÄN</t>
        </is>
      </c>
      <c r="G554" t="inlineStr">
        <is>
          <t>UPPVIDINGE</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30245-2026</t>
        </is>
      </c>
      <c r="B555" t="inlineStr">
        <is>
          <t>avverkningsanmälan</t>
        </is>
      </c>
      <c r="C555" t="inlineStr">
        <is>
          <t>Föryngringsavverkning</t>
        </is>
      </c>
      <c r="D555" s="1" t="n">
        <v>46206</v>
      </c>
      <c r="E555" s="1" t="n">
        <v>46217</v>
      </c>
      <c r="F555" t="inlineStr">
        <is>
          <t>KRONOBERGS LÄN</t>
        </is>
      </c>
      <c r="G555" t="inlineStr">
        <is>
          <t>UPPVIDINGE</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53701-2023</t>
        </is>
      </c>
      <c r="B556" t="inlineStr">
        <is>
          <t>avverkningsanmälan</t>
        </is>
      </c>
      <c r="C556" t="inlineStr">
        <is>
          <t>Föryngringsavverkning</t>
        </is>
      </c>
      <c r="D556" s="1" t="n">
        <v>45230</v>
      </c>
      <c r="E556" s="1" t="n">
        <v>46217</v>
      </c>
      <c r="F556" t="inlineStr">
        <is>
          <t>KRONOBERGS LÄN</t>
        </is>
      </c>
      <c r="G556" t="inlineStr">
        <is>
          <t>UPPVIDINGE</t>
        </is>
      </c>
      <c r="H556" t="inlineStr">
        <is>
          <t>Sveaskog</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23247-2026</t>
        </is>
      </c>
      <c r="B557" t="inlineStr">
        <is>
          <t>avverkningsanmälan</t>
        </is>
      </c>
      <c r="C557" t="inlineStr">
        <is>
          <t>Föryngringsavverkning</t>
        </is>
      </c>
      <c r="D557" s="1" t="n">
        <v>46162</v>
      </c>
      <c r="E557" s="1" t="n">
        <v>46217</v>
      </c>
      <c r="F557" t="inlineStr">
        <is>
          <t>KRONOBERGS LÄN</t>
        </is>
      </c>
      <c r="G557" t="inlineStr">
        <is>
          <t>UPPVIDINGE</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12075-2026</t>
        </is>
      </c>
      <c r="B558" t="inlineStr">
        <is>
          <t>avverkningsanmälan</t>
        </is>
      </c>
      <c r="C558" t="inlineStr">
        <is>
          <t>Föryngringsavverkning</t>
        </is>
      </c>
      <c r="D558" s="1" t="n">
        <v>46086</v>
      </c>
      <c r="E558" s="1" t="n">
        <v>46217</v>
      </c>
      <c r="F558" t="inlineStr">
        <is>
          <t>KRONOBERGS LÄN</t>
        </is>
      </c>
      <c r="G558" t="inlineStr">
        <is>
          <t>UPPVIDINGE</t>
        </is>
      </c>
      <c r="I558" t="n">
        <v>7.9</v>
      </c>
      <c r="J558" t="n">
        <v>0</v>
      </c>
      <c r="K558" t="n">
        <v>0</v>
      </c>
      <c r="L558" t="n">
        <v>0</v>
      </c>
      <c r="M558" t="n">
        <v>0</v>
      </c>
      <c r="N558" t="n">
        <v>0</v>
      </c>
      <c r="O558" t="n">
        <v>0</v>
      </c>
      <c r="P558" t="n">
        <v>0</v>
      </c>
      <c r="Q558" t="n">
        <v>0</v>
      </c>
      <c r="R558" t="n">
        <v>0</v>
      </c>
      <c r="S558" t="n">
        <v>0</v>
      </c>
      <c r="T558" t="n">
        <v>0</v>
      </c>
      <c r="U558" s="2" t="inlineStr"/>
    </row>
    <row r="559" ht="15" customHeight="1">
      <c r="A559" t="inlineStr">
        <is>
          <t>A 30097-2022</t>
        </is>
      </c>
      <c r="B559" t="inlineStr">
        <is>
          <t>avverkningsanmälan</t>
        </is>
      </c>
      <c r="C559" t="inlineStr">
        <is>
          <t>Föryngringsavverkning</t>
        </is>
      </c>
      <c r="D559" s="1" t="n">
        <v>44757</v>
      </c>
      <c r="E559" s="1" t="n">
        <v>46217</v>
      </c>
      <c r="F559" t="inlineStr">
        <is>
          <t>KRONOBERGS LÄN</t>
        </is>
      </c>
      <c r="G559" t="inlineStr">
        <is>
          <t>UPPVIDINGE</t>
        </is>
      </c>
      <c r="H559" t="inlineStr">
        <is>
          <t>Sveaskog</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13176-2026</t>
        </is>
      </c>
      <c r="B560" t="inlineStr">
        <is>
          <t>avverkningsanmälan</t>
        </is>
      </c>
      <c r="C560" t="inlineStr">
        <is>
          <t>Föryngringsavverkning</t>
        </is>
      </c>
      <c r="D560" s="1" t="n">
        <v>46093</v>
      </c>
      <c r="E560" s="1" t="n">
        <v>46217</v>
      </c>
      <c r="F560" t="inlineStr">
        <is>
          <t>KRONOBERGS LÄN</t>
        </is>
      </c>
      <c r="G560" t="inlineStr">
        <is>
          <t>UPPVIDINGE</t>
        </is>
      </c>
      <c r="H560" t="inlineStr">
        <is>
          <t>Sveaskog</t>
        </is>
      </c>
      <c r="I560" t="n">
        <v>5.2</v>
      </c>
      <c r="J560" t="n">
        <v>0</v>
      </c>
      <c r="K560" t="n">
        <v>0</v>
      </c>
      <c r="L560" t="n">
        <v>0</v>
      </c>
      <c r="M560" t="n">
        <v>0</v>
      </c>
      <c r="N560" t="n">
        <v>0</v>
      </c>
      <c r="O560" t="n">
        <v>0</v>
      </c>
      <c r="P560" t="n">
        <v>0</v>
      </c>
      <c r="Q560" t="n">
        <v>0</v>
      </c>
      <c r="R560" t="n">
        <v>0</v>
      </c>
      <c r="S560" t="n">
        <v>0</v>
      </c>
      <c r="T560" t="n">
        <v>0</v>
      </c>
      <c r="U560" s="2" t="inlineStr"/>
    </row>
    <row r="561" ht="15" customHeight="1">
      <c r="A561" t="inlineStr">
        <is>
          <t>A 13180-2026</t>
        </is>
      </c>
      <c r="B561" t="inlineStr">
        <is>
          <t>avverkningsanmälan</t>
        </is>
      </c>
      <c r="C561" t="inlineStr">
        <is>
          <t>Föryngringsavverkning</t>
        </is>
      </c>
      <c r="D561" s="1" t="n">
        <v>46093</v>
      </c>
      <c r="E561" s="1" t="n">
        <v>46217</v>
      </c>
      <c r="F561" t="inlineStr">
        <is>
          <t>KRONOBERGS LÄN</t>
        </is>
      </c>
      <c r="G561" t="inlineStr">
        <is>
          <t>UPPVIDINGE</t>
        </is>
      </c>
      <c r="H561" t="inlineStr">
        <is>
          <t>Sveaskog</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13175-2026</t>
        </is>
      </c>
      <c r="B562" t="inlineStr">
        <is>
          <t>avverkningsanmälan</t>
        </is>
      </c>
      <c r="C562" t="inlineStr">
        <is>
          <t>Föryngringsavverkning</t>
        </is>
      </c>
      <c r="D562" s="1" t="n">
        <v>46093</v>
      </c>
      <c r="E562" s="1" t="n">
        <v>46217</v>
      </c>
      <c r="F562" t="inlineStr">
        <is>
          <t>KRONOBERGS LÄN</t>
        </is>
      </c>
      <c r="G562" t="inlineStr">
        <is>
          <t>UPPVIDINGE</t>
        </is>
      </c>
      <c r="H562" t="inlineStr">
        <is>
          <t>Sveaskog</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13225-2026</t>
        </is>
      </c>
      <c r="B563" t="inlineStr">
        <is>
          <t>avverkningsanmälan</t>
        </is>
      </c>
      <c r="C563" t="inlineStr">
        <is>
          <t>Föryngringsavverkning</t>
        </is>
      </c>
      <c r="D563" s="1" t="n">
        <v>46093</v>
      </c>
      <c r="E563" s="1" t="n">
        <v>46217</v>
      </c>
      <c r="F563" t="inlineStr">
        <is>
          <t>KRONOBERGS LÄN</t>
        </is>
      </c>
      <c r="G563" t="inlineStr">
        <is>
          <t>UPPVIDINGE</t>
        </is>
      </c>
      <c r="H563" t="inlineStr">
        <is>
          <t>Sveaskog</t>
        </is>
      </c>
      <c r="I563" t="n">
        <v>6</v>
      </c>
      <c r="J563" t="n">
        <v>0</v>
      </c>
      <c r="K563" t="n">
        <v>0</v>
      </c>
      <c r="L563" t="n">
        <v>0</v>
      </c>
      <c r="M563" t="n">
        <v>0</v>
      </c>
      <c r="N563" t="n">
        <v>0</v>
      </c>
      <c r="O563" t="n">
        <v>0</v>
      </c>
      <c r="P563" t="n">
        <v>0</v>
      </c>
      <c r="Q563" t="n">
        <v>0</v>
      </c>
      <c r="R563" t="n">
        <v>0</v>
      </c>
      <c r="S563" t="n">
        <v>0</v>
      </c>
      <c r="T563" t="n">
        <v>0</v>
      </c>
      <c r="U563" s="2" t="inlineStr"/>
    </row>
    <row r="564" ht="15" customHeight="1">
      <c r="A564" t="inlineStr">
        <is>
          <t>A 13174-2026</t>
        </is>
      </c>
      <c r="B564" t="inlineStr">
        <is>
          <t>avverkningsanmälan</t>
        </is>
      </c>
      <c r="C564" t="inlineStr">
        <is>
          <t>Föryngringsavverkning</t>
        </is>
      </c>
      <c r="D564" s="1" t="n">
        <v>46093</v>
      </c>
      <c r="E564" s="1" t="n">
        <v>46217</v>
      </c>
      <c r="F564" t="inlineStr">
        <is>
          <t>KRONOBERGS LÄN</t>
        </is>
      </c>
      <c r="G564" t="inlineStr">
        <is>
          <t>UPPVIDINGE</t>
        </is>
      </c>
      <c r="H564" t="inlineStr">
        <is>
          <t>Sveaskog</t>
        </is>
      </c>
      <c r="I564" t="n">
        <v>5</v>
      </c>
      <c r="J564" t="n">
        <v>0</v>
      </c>
      <c r="K564" t="n">
        <v>0</v>
      </c>
      <c r="L564" t="n">
        <v>0</v>
      </c>
      <c r="M564" t="n">
        <v>0</v>
      </c>
      <c r="N564" t="n">
        <v>0</v>
      </c>
      <c r="O564" t="n">
        <v>0</v>
      </c>
      <c r="P564" t="n">
        <v>0</v>
      </c>
      <c r="Q564" t="n">
        <v>0</v>
      </c>
      <c r="R564" t="n">
        <v>0</v>
      </c>
      <c r="S564" t="n">
        <v>0</v>
      </c>
      <c r="T564" t="n">
        <v>0</v>
      </c>
      <c r="U564" s="2" t="inlineStr"/>
    </row>
    <row r="565" ht="15" customHeight="1">
      <c r="A565" t="inlineStr">
        <is>
          <t>A 19189-2025</t>
        </is>
      </c>
      <c r="B565" t="inlineStr">
        <is>
          <t>avverkningsanmälan</t>
        </is>
      </c>
      <c r="C565" t="inlineStr">
        <is>
          <t>Föryngringsavverkning</t>
        </is>
      </c>
      <c r="D565" s="1" t="n">
        <v>45769</v>
      </c>
      <c r="E565" s="1" t="n">
        <v>46217</v>
      </c>
      <c r="F565" t="inlineStr">
        <is>
          <t>KRONOBERGS LÄN</t>
        </is>
      </c>
      <c r="G565" t="inlineStr">
        <is>
          <t>UPPVIDINGE</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13224-2026</t>
        </is>
      </c>
      <c r="B566" t="inlineStr">
        <is>
          <t>avverkningsanmälan</t>
        </is>
      </c>
      <c r="C566" t="inlineStr">
        <is>
          <t>Föryngringsavverkning</t>
        </is>
      </c>
      <c r="D566" s="1" t="n">
        <v>46093</v>
      </c>
      <c r="E566" s="1" t="n">
        <v>46217</v>
      </c>
      <c r="F566" t="inlineStr">
        <is>
          <t>KRONOBERGS LÄN</t>
        </is>
      </c>
      <c r="G566" t="inlineStr">
        <is>
          <t>UPPVIDINGE</t>
        </is>
      </c>
      <c r="H566" t="inlineStr">
        <is>
          <t>Sveaskog</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13227-2026</t>
        </is>
      </c>
      <c r="B567" t="inlineStr">
        <is>
          <t>avverkningsanmälan</t>
        </is>
      </c>
      <c r="C567" t="inlineStr">
        <is>
          <t>Föryngringsavverkning</t>
        </is>
      </c>
      <c r="D567" s="1" t="n">
        <v>46093</v>
      </c>
      <c r="E567" s="1" t="n">
        <v>46217</v>
      </c>
      <c r="F567" t="inlineStr">
        <is>
          <t>KRONOBERGS LÄN</t>
        </is>
      </c>
      <c r="G567" t="inlineStr">
        <is>
          <t>UPPVIDINGE</t>
        </is>
      </c>
      <c r="H567" t="inlineStr">
        <is>
          <t>Sveaskog</t>
        </is>
      </c>
      <c r="I567" t="n">
        <v>3.4</v>
      </c>
      <c r="J567" t="n">
        <v>0</v>
      </c>
      <c r="K567" t="n">
        <v>0</v>
      </c>
      <c r="L567" t="n">
        <v>0</v>
      </c>
      <c r="M567" t="n">
        <v>0</v>
      </c>
      <c r="N567" t="n">
        <v>0</v>
      </c>
      <c r="O567" t="n">
        <v>0</v>
      </c>
      <c r="P567" t="n">
        <v>0</v>
      </c>
      <c r="Q567" t="n">
        <v>0</v>
      </c>
      <c r="R567" t="n">
        <v>0</v>
      </c>
      <c r="S567" t="n">
        <v>0</v>
      </c>
      <c r="T567" t="n">
        <v>0</v>
      </c>
      <c r="U567" s="2" t="inlineStr"/>
    </row>
    <row r="568" ht="15" customHeight="1">
      <c r="A568" t="inlineStr">
        <is>
          <t>A 23618-2026</t>
        </is>
      </c>
      <c r="B568" t="inlineStr">
        <is>
          <t>avverkningsanmälan</t>
        </is>
      </c>
      <c r="C568" t="inlineStr">
        <is>
          <t>Föryngringsavverkning</t>
        </is>
      </c>
      <c r="D568" s="1" t="n">
        <v>46163</v>
      </c>
      <c r="E568" s="1" t="n">
        <v>46217</v>
      </c>
      <c r="F568" t="inlineStr">
        <is>
          <t>KRONOBERGS LÄN</t>
        </is>
      </c>
      <c r="G568" t="inlineStr">
        <is>
          <t>UPPVIDINGE</t>
        </is>
      </c>
      <c r="H568" t="inlineStr">
        <is>
          <t>Sveaskog</t>
        </is>
      </c>
      <c r="I568" t="n">
        <v>3.3</v>
      </c>
      <c r="J568" t="n">
        <v>0</v>
      </c>
      <c r="K568" t="n">
        <v>0</v>
      </c>
      <c r="L568" t="n">
        <v>0</v>
      </c>
      <c r="M568" t="n">
        <v>0</v>
      </c>
      <c r="N568" t="n">
        <v>0</v>
      </c>
      <c r="O568" t="n">
        <v>0</v>
      </c>
      <c r="P568" t="n">
        <v>0</v>
      </c>
      <c r="Q568" t="n">
        <v>0</v>
      </c>
      <c r="R568" t="n">
        <v>0</v>
      </c>
      <c r="S568" t="n">
        <v>0</v>
      </c>
      <c r="T568" t="n">
        <v>0</v>
      </c>
      <c r="U568" s="2" t="inlineStr"/>
    </row>
    <row r="569" ht="15" customHeight="1">
      <c r="A569" t="inlineStr">
        <is>
          <t>A 37028-2023</t>
        </is>
      </c>
      <c r="B569" t="inlineStr">
        <is>
          <t>avverkningsanmälan</t>
        </is>
      </c>
      <c r="C569" t="inlineStr">
        <is>
          <t>Föryngringsavverkning</t>
        </is>
      </c>
      <c r="D569" s="1" t="n">
        <v>45155</v>
      </c>
      <c r="E569" s="1" t="n">
        <v>46217</v>
      </c>
      <c r="F569" t="inlineStr">
        <is>
          <t>KRONOBERGS LÄN</t>
        </is>
      </c>
      <c r="G569" t="inlineStr">
        <is>
          <t>UPPVIDINGE</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56363-2023</t>
        </is>
      </c>
      <c r="B570" t="inlineStr">
        <is>
          <t>avverkningsanmälan</t>
        </is>
      </c>
      <c r="C570" t="inlineStr">
        <is>
          <t>Föryngringsavverkning</t>
        </is>
      </c>
      <c r="D570" s="1" t="n">
        <v>45243</v>
      </c>
      <c r="E570" s="1" t="n">
        <v>46217</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61112-2022</t>
        </is>
      </c>
      <c r="B571" t="inlineStr">
        <is>
          <t>avverkningsanmälan</t>
        </is>
      </c>
      <c r="C571" t="inlineStr">
        <is>
          <t>Föryngringsavverkning</t>
        </is>
      </c>
      <c r="D571" s="1" t="n">
        <v>44915</v>
      </c>
      <c r="E571" s="1" t="n">
        <v>46217</v>
      </c>
      <c r="F571" t="inlineStr">
        <is>
          <t>KRONOBERGS LÄN</t>
        </is>
      </c>
      <c r="G571" t="inlineStr">
        <is>
          <t>UPPVIDINGE</t>
        </is>
      </c>
      <c r="I571" t="n">
        <v>12.5</v>
      </c>
      <c r="J571" t="n">
        <v>0</v>
      </c>
      <c r="K571" t="n">
        <v>0</v>
      </c>
      <c r="L571" t="n">
        <v>0</v>
      </c>
      <c r="M571" t="n">
        <v>0</v>
      </c>
      <c r="N571" t="n">
        <v>0</v>
      </c>
      <c r="O571" t="n">
        <v>0</v>
      </c>
      <c r="P571" t="n">
        <v>0</v>
      </c>
      <c r="Q571" t="n">
        <v>0</v>
      </c>
      <c r="R571" t="n">
        <v>0</v>
      </c>
      <c r="S571" t="n">
        <v>0</v>
      </c>
      <c r="T571" t="n">
        <v>0</v>
      </c>
      <c r="U571" s="2" t="inlineStr"/>
    </row>
    <row r="572" ht="15" customHeight="1">
      <c r="A572" t="inlineStr">
        <is>
          <t>A 14582-2026</t>
        </is>
      </c>
      <c r="B572" t="inlineStr">
        <is>
          <t>avverkningsanmälan</t>
        </is>
      </c>
      <c r="C572" t="inlineStr">
        <is>
          <t>Föryngringsavverkning</t>
        </is>
      </c>
      <c r="D572" s="1" t="n">
        <v>46101</v>
      </c>
      <c r="E572" s="1" t="n">
        <v>46217</v>
      </c>
      <c r="F572" t="inlineStr">
        <is>
          <t>KRONOBERGS LÄN</t>
        </is>
      </c>
      <c r="G572" t="inlineStr">
        <is>
          <t>UPPVIDINGE</t>
        </is>
      </c>
      <c r="H572" t="inlineStr">
        <is>
          <t>Sveaskog</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14585-2026</t>
        </is>
      </c>
      <c r="B573" t="inlineStr">
        <is>
          <t>avverkningsanmälan</t>
        </is>
      </c>
      <c r="C573" t="inlineStr">
        <is>
          <t>Föryngringsavverkning</t>
        </is>
      </c>
      <c r="D573" s="1" t="n">
        <v>46101</v>
      </c>
      <c r="E573" s="1" t="n">
        <v>46217</v>
      </c>
      <c r="F573" t="inlineStr">
        <is>
          <t>KRONOBERGS LÄN</t>
        </is>
      </c>
      <c r="G573" t="inlineStr">
        <is>
          <t>UPPVIDINGE</t>
        </is>
      </c>
      <c r="H573" t="inlineStr">
        <is>
          <t>Sveaskog</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14581-2026</t>
        </is>
      </c>
      <c r="B574" t="inlineStr">
        <is>
          <t>avverkningsanmälan</t>
        </is>
      </c>
      <c r="C574" t="inlineStr">
        <is>
          <t>Föryngringsavverkning</t>
        </is>
      </c>
      <c r="D574" s="1" t="n">
        <v>46101</v>
      </c>
      <c r="E574" s="1" t="n">
        <v>46217</v>
      </c>
      <c r="F574" t="inlineStr">
        <is>
          <t>KRONOBERGS LÄN</t>
        </is>
      </c>
      <c r="G574" t="inlineStr">
        <is>
          <t>UPPVIDINGE</t>
        </is>
      </c>
      <c r="H574" t="inlineStr">
        <is>
          <t>Sveaskog</t>
        </is>
      </c>
      <c r="I574" t="n">
        <v>4.1</v>
      </c>
      <c r="J574" t="n">
        <v>0</v>
      </c>
      <c r="K574" t="n">
        <v>0</v>
      </c>
      <c r="L574" t="n">
        <v>0</v>
      </c>
      <c r="M574" t="n">
        <v>0</v>
      </c>
      <c r="N574" t="n">
        <v>0</v>
      </c>
      <c r="O574" t="n">
        <v>0</v>
      </c>
      <c r="P574" t="n">
        <v>0</v>
      </c>
      <c r="Q574" t="n">
        <v>0</v>
      </c>
      <c r="R574" t="n">
        <v>0</v>
      </c>
      <c r="S574" t="n">
        <v>0</v>
      </c>
      <c r="T574" t="n">
        <v>0</v>
      </c>
      <c r="U574" s="2" t="inlineStr"/>
    </row>
    <row r="575" ht="15" customHeight="1">
      <c r="A575" t="inlineStr">
        <is>
          <t>A 14587-2026</t>
        </is>
      </c>
      <c r="B575" t="inlineStr">
        <is>
          <t>avverkningsanmälan</t>
        </is>
      </c>
      <c r="C575" t="inlineStr">
        <is>
          <t>Föryngringsavverkning</t>
        </is>
      </c>
      <c r="D575" s="1" t="n">
        <v>46101</v>
      </c>
      <c r="E575" s="1" t="n">
        <v>46217</v>
      </c>
      <c r="F575" t="inlineStr">
        <is>
          <t>KRONOBERGS LÄN</t>
        </is>
      </c>
      <c r="G575" t="inlineStr">
        <is>
          <t>UPPVIDINGE</t>
        </is>
      </c>
      <c r="H575" t="inlineStr">
        <is>
          <t>Sveaskog</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14584-2026</t>
        </is>
      </c>
      <c r="B576" t="inlineStr">
        <is>
          <t>avverkningsanmälan</t>
        </is>
      </c>
      <c r="C576" t="inlineStr">
        <is>
          <t>Föryngringsavverkning</t>
        </is>
      </c>
      <c r="D576" s="1" t="n">
        <v>46101</v>
      </c>
      <c r="E576" s="1" t="n">
        <v>46217</v>
      </c>
      <c r="F576" t="inlineStr">
        <is>
          <t>KRONOBERGS LÄN</t>
        </is>
      </c>
      <c r="G576" t="inlineStr">
        <is>
          <t>UPPVIDINGE</t>
        </is>
      </c>
      <c r="H576" t="inlineStr">
        <is>
          <t>Sveaskog</t>
        </is>
      </c>
      <c r="I576" t="n">
        <v>4.4</v>
      </c>
      <c r="J576" t="n">
        <v>0</v>
      </c>
      <c r="K576" t="n">
        <v>0</v>
      </c>
      <c r="L576" t="n">
        <v>0</v>
      </c>
      <c r="M576" t="n">
        <v>0</v>
      </c>
      <c r="N576" t="n">
        <v>0</v>
      </c>
      <c r="O576" t="n">
        <v>0</v>
      </c>
      <c r="P576" t="n">
        <v>0</v>
      </c>
      <c r="Q576" t="n">
        <v>0</v>
      </c>
      <c r="R576" t="n">
        <v>0</v>
      </c>
      <c r="S576" t="n">
        <v>0</v>
      </c>
      <c r="T576" t="n">
        <v>0</v>
      </c>
      <c r="U576" s="2" t="inlineStr"/>
    </row>
    <row r="577" ht="15" customHeight="1">
      <c r="A577" t="inlineStr">
        <is>
          <t>A 6071-2024</t>
        </is>
      </c>
      <c r="B577" t="inlineStr">
        <is>
          <t>avverkningsanmälan</t>
        </is>
      </c>
      <c r="C577" t="inlineStr">
        <is>
          <t>Föryngringsavverkning</t>
        </is>
      </c>
      <c r="D577" s="1" t="n">
        <v>45336</v>
      </c>
      <c r="E577" s="1" t="n">
        <v>46217</v>
      </c>
      <c r="F577" t="inlineStr">
        <is>
          <t>KRONOBERGS LÄN</t>
        </is>
      </c>
      <c r="G577" t="inlineStr">
        <is>
          <t>UPPVIDINGE</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48277-2022</t>
        </is>
      </c>
      <c r="B578" t="inlineStr">
        <is>
          <t>avverkningsanmälan</t>
        </is>
      </c>
      <c r="C578" t="inlineStr">
        <is>
          <t>Föryngringsavverkning</t>
        </is>
      </c>
      <c r="D578" s="1" t="n">
        <v>44858</v>
      </c>
      <c r="E578" s="1" t="n">
        <v>46217</v>
      </c>
      <c r="F578" t="inlineStr">
        <is>
          <t>KRONOBERGS LÄN</t>
        </is>
      </c>
      <c r="G578" t="inlineStr">
        <is>
          <t>UPPVIDINGE</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30423-2026</t>
        </is>
      </c>
      <c r="B579" t="inlineStr">
        <is>
          <t>avverkningsanmälan</t>
        </is>
      </c>
      <c r="C579" t="inlineStr">
        <is>
          <t>Föryngringsavverkning</t>
        </is>
      </c>
      <c r="D579" s="1" t="n">
        <v>46209</v>
      </c>
      <c r="E579" s="1" t="n">
        <v>46217</v>
      </c>
      <c r="F579" t="inlineStr">
        <is>
          <t>KRONOBERGS LÄN</t>
        </is>
      </c>
      <c r="G579" t="inlineStr">
        <is>
          <t>UPPVIDINGE</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15493-2026</t>
        </is>
      </c>
      <c r="B580" t="inlineStr">
        <is>
          <t>avverkningsanmälan</t>
        </is>
      </c>
      <c r="C580" t="inlineStr">
        <is>
          <t>Föryngringsavverkning</t>
        </is>
      </c>
      <c r="D580" s="1" t="n">
        <v>46106</v>
      </c>
      <c r="E580" s="1" t="n">
        <v>46217</v>
      </c>
      <c r="F580" t="inlineStr">
        <is>
          <t>KRONOBERGS LÄN</t>
        </is>
      </c>
      <c r="G580" t="inlineStr">
        <is>
          <t>UPPVIDINGE</t>
        </is>
      </c>
      <c r="H580" t="inlineStr">
        <is>
          <t>Sveaskog</t>
        </is>
      </c>
      <c r="I580" t="n">
        <v>1.7</v>
      </c>
      <c r="J580" t="n">
        <v>0</v>
      </c>
      <c r="K580" t="n">
        <v>0</v>
      </c>
      <c r="L580" t="n">
        <v>0</v>
      </c>
      <c r="M580" t="n">
        <v>0</v>
      </c>
      <c r="N580" t="n">
        <v>0</v>
      </c>
      <c r="O580" t="n">
        <v>0</v>
      </c>
      <c r="P580" t="n">
        <v>0</v>
      </c>
      <c r="Q580" t="n">
        <v>0</v>
      </c>
      <c r="R580" t="n">
        <v>0</v>
      </c>
      <c r="S580" t="n">
        <v>0</v>
      </c>
      <c r="T580" t="n">
        <v>0</v>
      </c>
      <c r="U580" s="2" t="inlineStr"/>
    </row>
    <row r="581" ht="15" customHeight="1">
      <c r="A581" t="inlineStr">
        <is>
          <t>A 15437-2026</t>
        </is>
      </c>
      <c r="B581" t="inlineStr">
        <is>
          <t>avverkningsanmälan</t>
        </is>
      </c>
      <c r="C581" t="inlineStr">
        <is>
          <t>Föryngringsavverkning</t>
        </is>
      </c>
      <c r="D581" s="1" t="n">
        <v>46106</v>
      </c>
      <c r="E581" s="1" t="n">
        <v>46217</v>
      </c>
      <c r="F581" t="inlineStr">
        <is>
          <t>KRONOBERGS LÄN</t>
        </is>
      </c>
      <c r="G581" t="inlineStr">
        <is>
          <t>UPPVIDINGE</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15488-2026</t>
        </is>
      </c>
      <c r="B582" t="inlineStr">
        <is>
          <t>avverkningsanmälan</t>
        </is>
      </c>
      <c r="C582" t="inlineStr">
        <is>
          <t>Föryngringsavverkning</t>
        </is>
      </c>
      <c r="D582" s="1" t="n">
        <v>46106</v>
      </c>
      <c r="E582" s="1" t="n">
        <v>46217</v>
      </c>
      <c r="F582" t="inlineStr">
        <is>
          <t>KRONOBERGS LÄN</t>
        </is>
      </c>
      <c r="G582" t="inlineStr">
        <is>
          <t>UPPVIDINGE</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53492-2023</t>
        </is>
      </c>
      <c r="B583" t="inlineStr">
        <is>
          <t>avverkningsanmälan</t>
        </is>
      </c>
      <c r="C583" t="inlineStr">
        <is>
          <t>Föryngringsavverkning</t>
        </is>
      </c>
      <c r="D583" s="1" t="n">
        <v>45230</v>
      </c>
      <c r="E583" s="1" t="n">
        <v>46217</v>
      </c>
      <c r="F583" t="inlineStr">
        <is>
          <t>KRONOBERGS LÄN</t>
        </is>
      </c>
      <c r="G583" t="inlineStr">
        <is>
          <t>UPPVIDINGE</t>
        </is>
      </c>
      <c r="H583" t="inlineStr">
        <is>
          <t>Sveaskog</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30608-2026</t>
        </is>
      </c>
      <c r="B584" t="inlineStr">
        <is>
          <t>avverkningsanmälan</t>
        </is>
      </c>
      <c r="C584" t="inlineStr">
        <is>
          <t>Föryngringsavverkning</t>
        </is>
      </c>
      <c r="D584" s="1" t="n">
        <v>46210</v>
      </c>
      <c r="E584" s="1" t="n">
        <v>46217</v>
      </c>
      <c r="F584" t="inlineStr">
        <is>
          <t>KRONOBERGS LÄN</t>
        </is>
      </c>
      <c r="G584" t="inlineStr">
        <is>
          <t>UPPVIDINGE</t>
        </is>
      </c>
      <c r="I584" t="n">
        <v>4.5</v>
      </c>
      <c r="J584" t="n">
        <v>0</v>
      </c>
      <c r="K584" t="n">
        <v>0</v>
      </c>
      <c r="L584" t="n">
        <v>0</v>
      </c>
      <c r="M584" t="n">
        <v>0</v>
      </c>
      <c r="N584" t="n">
        <v>0</v>
      </c>
      <c r="O584" t="n">
        <v>0</v>
      </c>
      <c r="P584" t="n">
        <v>0</v>
      </c>
      <c r="Q584" t="n">
        <v>0</v>
      </c>
      <c r="R584" t="n">
        <v>0</v>
      </c>
      <c r="S584" t="n">
        <v>0</v>
      </c>
      <c r="T584" t="n">
        <v>0</v>
      </c>
      <c r="U584" s="2" t="inlineStr"/>
    </row>
    <row r="585" ht="15" customHeight="1">
      <c r="A585" t="inlineStr">
        <is>
          <t>A 15489-2026</t>
        </is>
      </c>
      <c r="B585" t="inlineStr">
        <is>
          <t>avverkningsanmälan</t>
        </is>
      </c>
      <c r="C585" t="inlineStr">
        <is>
          <t>Föryngringsavverkning</t>
        </is>
      </c>
      <c r="D585" s="1" t="n">
        <v>46106</v>
      </c>
      <c r="E585" s="1" t="n">
        <v>46217</v>
      </c>
      <c r="F585" t="inlineStr">
        <is>
          <t>KRONOBERGS LÄN</t>
        </is>
      </c>
      <c r="G585" t="inlineStr">
        <is>
          <t>UPPVIDINGE</t>
        </is>
      </c>
      <c r="H585" t="inlineStr">
        <is>
          <t>Sveaskog</t>
        </is>
      </c>
      <c r="I585" t="n">
        <v>4.1</v>
      </c>
      <c r="J585" t="n">
        <v>0</v>
      </c>
      <c r="K585" t="n">
        <v>0</v>
      </c>
      <c r="L585" t="n">
        <v>0</v>
      </c>
      <c r="M585" t="n">
        <v>0</v>
      </c>
      <c r="N585" t="n">
        <v>0</v>
      </c>
      <c r="O585" t="n">
        <v>0</v>
      </c>
      <c r="P585" t="n">
        <v>0</v>
      </c>
      <c r="Q585" t="n">
        <v>0</v>
      </c>
      <c r="R585" t="n">
        <v>0</v>
      </c>
      <c r="S585" t="n">
        <v>0</v>
      </c>
      <c r="T585" t="n">
        <v>0</v>
      </c>
      <c r="U585" s="2" t="inlineStr"/>
    </row>
    <row r="586" ht="15" customHeight="1">
      <c r="A586" t="inlineStr">
        <is>
          <t>A 8123-2024</t>
        </is>
      </c>
      <c r="B586" t="inlineStr">
        <is>
          <t>avverkningsanmälan</t>
        </is>
      </c>
      <c r="C586" t="inlineStr">
        <is>
          <t>Föryngringsavverkning</t>
        </is>
      </c>
      <c r="D586" s="1" t="n">
        <v>45351</v>
      </c>
      <c r="E586" s="1" t="n">
        <v>46217</v>
      </c>
      <c r="F586" t="inlineStr">
        <is>
          <t>KRONOBERGS LÄN</t>
        </is>
      </c>
      <c r="G586" t="inlineStr">
        <is>
          <t>UPPVIDINGE</t>
        </is>
      </c>
      <c r="I586" t="n">
        <v>7</v>
      </c>
      <c r="J586" t="n">
        <v>0</v>
      </c>
      <c r="K586" t="n">
        <v>0</v>
      </c>
      <c r="L586" t="n">
        <v>0</v>
      </c>
      <c r="M586" t="n">
        <v>0</v>
      </c>
      <c r="N586" t="n">
        <v>0</v>
      </c>
      <c r="O586" t="n">
        <v>0</v>
      </c>
      <c r="P586" t="n">
        <v>0</v>
      </c>
      <c r="Q586" t="n">
        <v>0</v>
      </c>
      <c r="R586" t="n">
        <v>0</v>
      </c>
      <c r="S586" t="n">
        <v>0</v>
      </c>
      <c r="T586" t="n">
        <v>0</v>
      </c>
      <c r="U586" s="2" t="inlineStr"/>
    </row>
    <row r="587" ht="15" customHeight="1">
      <c r="A587" t="inlineStr">
        <is>
          <t>A 15492-2026</t>
        </is>
      </c>
      <c r="B587" t="inlineStr">
        <is>
          <t>avverkningsanmälan</t>
        </is>
      </c>
      <c r="C587" t="inlineStr">
        <is>
          <t>Föryngringsavverkning</t>
        </is>
      </c>
      <c r="D587" s="1" t="n">
        <v>46106</v>
      </c>
      <c r="E587" s="1" t="n">
        <v>46217</v>
      </c>
      <c r="F587" t="inlineStr">
        <is>
          <t>KRONOBERGS LÄN</t>
        </is>
      </c>
      <c r="G587" t="inlineStr">
        <is>
          <t>UPPVIDINGE</t>
        </is>
      </c>
      <c r="H587" t="inlineStr">
        <is>
          <t>Sveaskog</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15482-2026</t>
        </is>
      </c>
      <c r="B588" t="inlineStr">
        <is>
          <t>avverkningsanmälan</t>
        </is>
      </c>
      <c r="C588" t="inlineStr">
        <is>
          <t>Föryngringsavverkning</t>
        </is>
      </c>
      <c r="D588" s="1" t="n">
        <v>46106</v>
      </c>
      <c r="E588" s="1" t="n">
        <v>46217</v>
      </c>
      <c r="F588" t="inlineStr">
        <is>
          <t>KRONOBERGS LÄN</t>
        </is>
      </c>
      <c r="G588" t="inlineStr">
        <is>
          <t>UPPVIDINGE</t>
        </is>
      </c>
      <c r="H588" t="inlineStr">
        <is>
          <t>Sveaskog</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15495-2026</t>
        </is>
      </c>
      <c r="B589" t="inlineStr">
        <is>
          <t>avverkningsanmälan</t>
        </is>
      </c>
      <c r="C589" t="inlineStr">
        <is>
          <t>Föryngringsavverkning</t>
        </is>
      </c>
      <c r="D589" s="1" t="n">
        <v>46106</v>
      </c>
      <c r="E589" s="1" t="n">
        <v>46217</v>
      </c>
      <c r="F589" t="inlineStr">
        <is>
          <t>KRONOBERGS LÄN</t>
        </is>
      </c>
      <c r="G589" t="inlineStr">
        <is>
          <t>UPPVIDINGE</t>
        </is>
      </c>
      <c r="H589" t="inlineStr">
        <is>
          <t>Sveaskog</t>
        </is>
      </c>
      <c r="I589" t="n">
        <v>2.9</v>
      </c>
      <c r="J589" t="n">
        <v>0</v>
      </c>
      <c r="K589" t="n">
        <v>0</v>
      </c>
      <c r="L589" t="n">
        <v>0</v>
      </c>
      <c r="M589" t="n">
        <v>0</v>
      </c>
      <c r="N589" t="n">
        <v>0</v>
      </c>
      <c r="O589" t="n">
        <v>0</v>
      </c>
      <c r="P589" t="n">
        <v>0</v>
      </c>
      <c r="Q589" t="n">
        <v>0</v>
      </c>
      <c r="R589" t="n">
        <v>0</v>
      </c>
      <c r="S589" t="n">
        <v>0</v>
      </c>
      <c r="T589" t="n">
        <v>0</v>
      </c>
      <c r="U589" s="2" t="inlineStr"/>
    </row>
    <row r="590" ht="15" customHeight="1">
      <c r="A590" t="inlineStr">
        <is>
          <t>A 61398-2023</t>
        </is>
      </c>
      <c r="B590" t="inlineStr">
        <is>
          <t>avverkningsanmälan</t>
        </is>
      </c>
      <c r="C590" t="inlineStr">
        <is>
          <t>Föryngringsavverkning</t>
        </is>
      </c>
      <c r="D590" s="1" t="n">
        <v>45264</v>
      </c>
      <c r="E590" s="1" t="n">
        <v>46217</v>
      </c>
      <c r="F590" t="inlineStr">
        <is>
          <t>KRONOBERGS LÄN</t>
        </is>
      </c>
      <c r="G590" t="inlineStr">
        <is>
          <t>UPPVIDINGE</t>
        </is>
      </c>
      <c r="I590" t="n">
        <v>2.8</v>
      </c>
      <c r="J590" t="n">
        <v>0</v>
      </c>
      <c r="K590" t="n">
        <v>0</v>
      </c>
      <c r="L590" t="n">
        <v>0</v>
      </c>
      <c r="M590" t="n">
        <v>0</v>
      </c>
      <c r="N590" t="n">
        <v>0</v>
      </c>
      <c r="O590" t="n">
        <v>0</v>
      </c>
      <c r="P590" t="n">
        <v>0</v>
      </c>
      <c r="Q590" t="n">
        <v>0</v>
      </c>
      <c r="R590" t="n">
        <v>0</v>
      </c>
      <c r="S590" t="n">
        <v>0</v>
      </c>
      <c r="T590" t="n">
        <v>0</v>
      </c>
      <c r="U590" s="2" t="inlineStr"/>
    </row>
    <row r="591" ht="15" customHeight="1">
      <c r="A591" t="inlineStr">
        <is>
          <t>A 2045-2023</t>
        </is>
      </c>
      <c r="B591" t="inlineStr">
        <is>
          <t>avverkningsanmälan</t>
        </is>
      </c>
      <c r="C591" t="inlineStr">
        <is>
          <t>Föryngringsavverkning</t>
        </is>
      </c>
      <c r="D591" s="1" t="n">
        <v>44939</v>
      </c>
      <c r="E591" s="1" t="n">
        <v>46217</v>
      </c>
      <c r="F591" t="inlineStr">
        <is>
          <t>KRONOBERGS LÄN</t>
        </is>
      </c>
      <c r="G591" t="inlineStr">
        <is>
          <t>UPPVIDINGE</t>
        </is>
      </c>
      <c r="I591" t="n">
        <v>7.9</v>
      </c>
      <c r="J591" t="n">
        <v>0</v>
      </c>
      <c r="K591" t="n">
        <v>0</v>
      </c>
      <c r="L591" t="n">
        <v>0</v>
      </c>
      <c r="M591" t="n">
        <v>0</v>
      </c>
      <c r="N591" t="n">
        <v>0</v>
      </c>
      <c r="O591" t="n">
        <v>0</v>
      </c>
      <c r="P591" t="n">
        <v>0</v>
      </c>
      <c r="Q591" t="n">
        <v>0</v>
      </c>
      <c r="R591" t="n">
        <v>0</v>
      </c>
      <c r="S591" t="n">
        <v>0</v>
      </c>
      <c r="T591" t="n">
        <v>0</v>
      </c>
      <c r="U591" s="2" t="inlineStr"/>
    </row>
    <row r="592" ht="15" customHeight="1">
      <c r="A592" t="inlineStr">
        <is>
          <t>A 24006-2026</t>
        </is>
      </c>
      <c r="B592" t="inlineStr">
        <is>
          <t>avverkningsanmälan</t>
        </is>
      </c>
      <c r="C592" t="inlineStr">
        <is>
          <t>Föryngringsavverkning</t>
        </is>
      </c>
      <c r="D592" s="1" t="n">
        <v>46167</v>
      </c>
      <c r="E592" s="1" t="n">
        <v>46217</v>
      </c>
      <c r="F592" t="inlineStr">
        <is>
          <t>KRONOBERGS LÄN</t>
        </is>
      </c>
      <c r="G592" t="inlineStr">
        <is>
          <t>UPPVIDINGE</t>
        </is>
      </c>
      <c r="H592" t="inlineStr">
        <is>
          <t>Sveaskog</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4217-2024</t>
        </is>
      </c>
      <c r="B593" t="inlineStr">
        <is>
          <t>avverkningsanmälan</t>
        </is>
      </c>
      <c r="C593" t="inlineStr">
        <is>
          <t>Föryngringsavverkning</t>
        </is>
      </c>
      <c r="D593" s="1" t="n">
        <v>45324</v>
      </c>
      <c r="E593" s="1" t="n">
        <v>46217</v>
      </c>
      <c r="F593" t="inlineStr">
        <is>
          <t>KRONOBERGS LÄN</t>
        </is>
      </c>
      <c r="G593" t="inlineStr">
        <is>
          <t>UPPVIDINGE</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17128-2026</t>
        </is>
      </c>
      <c r="B594" t="inlineStr">
        <is>
          <t>avverkningsanmälan</t>
        </is>
      </c>
      <c r="C594" t="inlineStr">
        <is>
          <t>Föryngringsavverkning</t>
        </is>
      </c>
      <c r="D594" s="1" t="n">
        <v>46114</v>
      </c>
      <c r="E594" s="1" t="n">
        <v>46217</v>
      </c>
      <c r="F594" t="inlineStr">
        <is>
          <t>KRONOBERGS LÄN</t>
        </is>
      </c>
      <c r="G594" t="inlineStr">
        <is>
          <t>UPPVIDINGE</t>
        </is>
      </c>
      <c r="H594" t="inlineStr">
        <is>
          <t>Sveaskog</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64041-2023</t>
        </is>
      </c>
      <c r="B595" t="inlineStr">
        <is>
          <t>avverkningsanmälan</t>
        </is>
      </c>
      <c r="C595" t="inlineStr">
        <is>
          <t>Föryngringsavverkning</t>
        </is>
      </c>
      <c r="D595" s="1" t="n">
        <v>45279</v>
      </c>
      <c r="E595" s="1" t="n">
        <v>46217</v>
      </c>
      <c r="F595" t="inlineStr">
        <is>
          <t>KRONOBERGS LÄN</t>
        </is>
      </c>
      <c r="G595" t="inlineStr">
        <is>
          <t>UPPVIDINGE</t>
        </is>
      </c>
      <c r="I595" t="n">
        <v>2.6</v>
      </c>
      <c r="J595" t="n">
        <v>0</v>
      </c>
      <c r="K595" t="n">
        <v>0</v>
      </c>
      <c r="L595" t="n">
        <v>0</v>
      </c>
      <c r="M595" t="n">
        <v>0</v>
      </c>
      <c r="N595" t="n">
        <v>0</v>
      </c>
      <c r="O595" t="n">
        <v>0</v>
      </c>
      <c r="P595" t="n">
        <v>0</v>
      </c>
      <c r="Q595" t="n">
        <v>0</v>
      </c>
      <c r="R595" t="n">
        <v>0</v>
      </c>
      <c r="S595" t="n">
        <v>0</v>
      </c>
      <c r="T595" t="n">
        <v>0</v>
      </c>
      <c r="U595" s="2" t="inlineStr"/>
    </row>
    <row r="596" ht="15" customHeight="1">
      <c r="A596" t="inlineStr">
        <is>
          <t>A 17130-2026</t>
        </is>
      </c>
      <c r="B596" t="inlineStr">
        <is>
          <t>avverkningsanmälan</t>
        </is>
      </c>
      <c r="C596" t="inlineStr">
        <is>
          <t>Föryngringsavverkning</t>
        </is>
      </c>
      <c r="D596" s="1" t="n">
        <v>46114</v>
      </c>
      <c r="E596" s="1" t="n">
        <v>46217</v>
      </c>
      <c r="F596" t="inlineStr">
        <is>
          <t>KRONOBERGS LÄN</t>
        </is>
      </c>
      <c r="G596" t="inlineStr">
        <is>
          <t>UPPVIDINGE</t>
        </is>
      </c>
      <c r="H596" t="inlineStr">
        <is>
          <t>Sveaskog</t>
        </is>
      </c>
      <c r="I596" t="n">
        <v>3.8</v>
      </c>
      <c r="J596" t="n">
        <v>0</v>
      </c>
      <c r="K596" t="n">
        <v>0</v>
      </c>
      <c r="L596" t="n">
        <v>0</v>
      </c>
      <c r="M596" t="n">
        <v>0</v>
      </c>
      <c r="N596" t="n">
        <v>0</v>
      </c>
      <c r="O596" t="n">
        <v>0</v>
      </c>
      <c r="P596" t="n">
        <v>0</v>
      </c>
      <c r="Q596" t="n">
        <v>0</v>
      </c>
      <c r="R596" t="n">
        <v>0</v>
      </c>
      <c r="S596" t="n">
        <v>0</v>
      </c>
      <c r="T596" t="n">
        <v>0</v>
      </c>
      <c r="U596" s="2" t="inlineStr"/>
    </row>
    <row r="597" ht="15" customHeight="1">
      <c r="A597" t="inlineStr">
        <is>
          <t>A 17129-2026</t>
        </is>
      </c>
      <c r="B597" t="inlineStr">
        <is>
          <t>avverkningsanmälan</t>
        </is>
      </c>
      <c r="C597" t="inlineStr">
        <is>
          <t>Föryngringsavverkning</t>
        </is>
      </c>
      <c r="D597" s="1" t="n">
        <v>46114</v>
      </c>
      <c r="E597" s="1" t="n">
        <v>46217</v>
      </c>
      <c r="F597" t="inlineStr">
        <is>
          <t>KRONOBERGS LÄN</t>
        </is>
      </c>
      <c r="G597" t="inlineStr">
        <is>
          <t>UPPVIDINGE</t>
        </is>
      </c>
      <c r="H597" t="inlineStr">
        <is>
          <t>Sveaskog</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A 17120-2026</t>
        </is>
      </c>
      <c r="B598" t="inlineStr">
        <is>
          <t>avverkningsanmälan</t>
        </is>
      </c>
      <c r="C598" t="inlineStr">
        <is>
          <t>Föryngringsavverkning</t>
        </is>
      </c>
      <c r="D598" s="1" t="n">
        <v>46114</v>
      </c>
      <c r="E598" s="1" t="n">
        <v>46217</v>
      </c>
      <c r="F598" t="inlineStr">
        <is>
          <t>KRONOBERGS LÄN</t>
        </is>
      </c>
      <c r="G598" t="inlineStr">
        <is>
          <t>UPPVIDINGE</t>
        </is>
      </c>
      <c r="H598" t="inlineStr">
        <is>
          <t>Sveaskog</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17126-2026</t>
        </is>
      </c>
      <c r="B599" t="inlineStr">
        <is>
          <t>avverkningsanmälan</t>
        </is>
      </c>
      <c r="C599" t="inlineStr">
        <is>
          <t>Föryngringsavverkning</t>
        </is>
      </c>
      <c r="D599" s="1" t="n">
        <v>46114</v>
      </c>
      <c r="E599" s="1" t="n">
        <v>46217</v>
      </c>
      <c r="F599" t="inlineStr">
        <is>
          <t>KRONOBERGS LÄN</t>
        </is>
      </c>
      <c r="G599" t="inlineStr">
        <is>
          <t>UPPVIDINGE</t>
        </is>
      </c>
      <c r="H599" t="inlineStr">
        <is>
          <t>Sveaskog</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17123-2026</t>
        </is>
      </c>
      <c r="B600" t="inlineStr">
        <is>
          <t>avverkningsanmälan</t>
        </is>
      </c>
      <c r="C600" t="inlineStr">
        <is>
          <t>Föryngringsavverkning</t>
        </is>
      </c>
      <c r="D600" s="1" t="n">
        <v>46114</v>
      </c>
      <c r="E600" s="1" t="n">
        <v>46217</v>
      </c>
      <c r="F600" t="inlineStr">
        <is>
          <t>KRONOBERGS LÄN</t>
        </is>
      </c>
      <c r="G600" t="inlineStr">
        <is>
          <t>UPPVIDINGE</t>
        </is>
      </c>
      <c r="H600" t="inlineStr">
        <is>
          <t>Sveaskog</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30685-2026</t>
        </is>
      </c>
      <c r="B601" t="inlineStr">
        <is>
          <t>avverkningsanmälan</t>
        </is>
      </c>
      <c r="C601" t="inlineStr">
        <is>
          <t>Föryngringsavverkning</t>
        </is>
      </c>
      <c r="D601" s="1" t="n">
        <v>46205</v>
      </c>
      <c r="E601" s="1" t="n">
        <v>46217</v>
      </c>
      <c r="F601" t="inlineStr">
        <is>
          <t>KRONOBERGS LÄN</t>
        </is>
      </c>
      <c r="G601" t="inlineStr">
        <is>
          <t>UPPVIDINGE</t>
        </is>
      </c>
      <c r="H601" t="inlineStr">
        <is>
          <t>Kommuner</t>
        </is>
      </c>
      <c r="I601" t="n">
        <v>8</v>
      </c>
      <c r="J601" t="n">
        <v>0</v>
      </c>
      <c r="K601" t="n">
        <v>0</v>
      </c>
      <c r="L601" t="n">
        <v>0</v>
      </c>
      <c r="M601" t="n">
        <v>0</v>
      </c>
      <c r="N601" t="n">
        <v>0</v>
      </c>
      <c r="O601" t="n">
        <v>0</v>
      </c>
      <c r="P601" t="n">
        <v>0</v>
      </c>
      <c r="Q601" t="n">
        <v>0</v>
      </c>
      <c r="R601" t="n">
        <v>0</v>
      </c>
      <c r="S601" t="n">
        <v>0</v>
      </c>
      <c r="T601" t="n">
        <v>0</v>
      </c>
      <c r="U601" s="2" t="inlineStr"/>
    </row>
    <row r="602" ht="15" customHeight="1">
      <c r="A602" t="inlineStr">
        <is>
          <t>A 30691-2026</t>
        </is>
      </c>
      <c r="B602" t="inlineStr">
        <is>
          <t>avverkningsanmälan</t>
        </is>
      </c>
      <c r="C602" t="inlineStr">
        <is>
          <t>Föryngringsavverkning</t>
        </is>
      </c>
      <c r="D602" s="1" t="n">
        <v>46205</v>
      </c>
      <c r="E602" s="1" t="n">
        <v>46217</v>
      </c>
      <c r="F602" t="inlineStr">
        <is>
          <t>KRONOBERGS LÄN</t>
        </is>
      </c>
      <c r="G602" t="inlineStr">
        <is>
          <t>UPPVIDINGE</t>
        </is>
      </c>
      <c r="H602" t="inlineStr">
        <is>
          <t>Kommuner</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7104-2022</t>
        </is>
      </c>
      <c r="B603" t="inlineStr">
        <is>
          <t>avverkningsanmälan</t>
        </is>
      </c>
      <c r="C603" t="inlineStr">
        <is>
          <t>Föryngringsavverkning</t>
        </is>
      </c>
      <c r="D603" s="1" t="n">
        <v>44603</v>
      </c>
      <c r="E603" s="1" t="n">
        <v>46217</v>
      </c>
      <c r="F603" t="inlineStr">
        <is>
          <t>KRONOBERGS LÄN</t>
        </is>
      </c>
      <c r="G603" t="inlineStr">
        <is>
          <t>UPPVIDINGE</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30719-2026</t>
        </is>
      </c>
      <c r="B604" t="inlineStr">
        <is>
          <t>avverkningsanmälan</t>
        </is>
      </c>
      <c r="C604" t="inlineStr">
        <is>
          <t>Föryngringsavverkning</t>
        </is>
      </c>
      <c r="D604" s="1" t="n">
        <v>46205</v>
      </c>
      <c r="E604" s="1" t="n">
        <v>46217</v>
      </c>
      <c r="F604" t="inlineStr">
        <is>
          <t>KRONOBERGS LÄN</t>
        </is>
      </c>
      <c r="G604" t="inlineStr">
        <is>
          <t>UPPVIDINGE</t>
        </is>
      </c>
      <c r="H604" t="inlineStr">
        <is>
          <t>Kommuner</t>
        </is>
      </c>
      <c r="I604" t="n">
        <v>4.3</v>
      </c>
      <c r="J604" t="n">
        <v>0</v>
      </c>
      <c r="K604" t="n">
        <v>0</v>
      </c>
      <c r="L604" t="n">
        <v>0</v>
      </c>
      <c r="M604" t="n">
        <v>0</v>
      </c>
      <c r="N604" t="n">
        <v>0</v>
      </c>
      <c r="O604" t="n">
        <v>0</v>
      </c>
      <c r="P604" t="n">
        <v>0</v>
      </c>
      <c r="Q604" t="n">
        <v>0</v>
      </c>
      <c r="R604" t="n">
        <v>0</v>
      </c>
      <c r="S604" t="n">
        <v>0</v>
      </c>
      <c r="T604" t="n">
        <v>0</v>
      </c>
      <c r="U604" s="2" t="inlineStr"/>
    </row>
    <row r="605" ht="15" customHeight="1">
      <c r="A605" t="inlineStr">
        <is>
          <t>A 30722-2026</t>
        </is>
      </c>
      <c r="B605" t="inlineStr">
        <is>
          <t>avverkningsanmälan</t>
        </is>
      </c>
      <c r="C605" t="inlineStr">
        <is>
          <t>Föryngringsavverkning</t>
        </is>
      </c>
      <c r="D605" s="1" t="n">
        <v>46205</v>
      </c>
      <c r="E605" s="1" t="n">
        <v>46217</v>
      </c>
      <c r="F605" t="inlineStr">
        <is>
          <t>KRONOBERGS LÄN</t>
        </is>
      </c>
      <c r="G605" t="inlineStr">
        <is>
          <t>UPPVIDINGE</t>
        </is>
      </c>
      <c r="H605" t="inlineStr">
        <is>
          <t>Kommuner</t>
        </is>
      </c>
      <c r="I605" t="n">
        <v>3.2</v>
      </c>
      <c r="J605" t="n">
        <v>0</v>
      </c>
      <c r="K605" t="n">
        <v>0</v>
      </c>
      <c r="L605" t="n">
        <v>0</v>
      </c>
      <c r="M605" t="n">
        <v>0</v>
      </c>
      <c r="N605" t="n">
        <v>0</v>
      </c>
      <c r="O605" t="n">
        <v>0</v>
      </c>
      <c r="P605" t="n">
        <v>0</v>
      </c>
      <c r="Q605" t="n">
        <v>0</v>
      </c>
      <c r="R605" t="n">
        <v>0</v>
      </c>
      <c r="S605" t="n">
        <v>0</v>
      </c>
      <c r="T605" t="n">
        <v>0</v>
      </c>
      <c r="U605" s="2" t="inlineStr"/>
    </row>
    <row r="606" ht="15" customHeight="1">
      <c r="A606" t="inlineStr">
        <is>
          <t>A 30726-2026</t>
        </is>
      </c>
      <c r="B606" t="inlineStr">
        <is>
          <t>avverkningsanmälan</t>
        </is>
      </c>
      <c r="C606" t="inlineStr">
        <is>
          <t>Föryngringsavverkning</t>
        </is>
      </c>
      <c r="D606" s="1" t="n">
        <v>46205</v>
      </c>
      <c r="E606" s="1" t="n">
        <v>46217</v>
      </c>
      <c r="F606" t="inlineStr">
        <is>
          <t>KRONOBERGS LÄN</t>
        </is>
      </c>
      <c r="G606" t="inlineStr">
        <is>
          <t>UPPVIDINGE</t>
        </is>
      </c>
      <c r="H606" t="inlineStr">
        <is>
          <t>Kommuner</t>
        </is>
      </c>
      <c r="I606" t="n">
        <v>4.3</v>
      </c>
      <c r="J606" t="n">
        <v>0</v>
      </c>
      <c r="K606" t="n">
        <v>0</v>
      </c>
      <c r="L606" t="n">
        <v>0</v>
      </c>
      <c r="M606" t="n">
        <v>0</v>
      </c>
      <c r="N606" t="n">
        <v>0</v>
      </c>
      <c r="O606" t="n">
        <v>0</v>
      </c>
      <c r="P606" t="n">
        <v>0</v>
      </c>
      <c r="Q606" t="n">
        <v>0</v>
      </c>
      <c r="R606" t="n">
        <v>0</v>
      </c>
      <c r="S606" t="n">
        <v>0</v>
      </c>
      <c r="T606" t="n">
        <v>0</v>
      </c>
      <c r="U606" s="2" t="inlineStr"/>
    </row>
    <row r="607" ht="15" customHeight="1">
      <c r="A607" t="inlineStr">
        <is>
          <t>A 49779-2024</t>
        </is>
      </c>
      <c r="B607" t="inlineStr">
        <is>
          <t>avverkningsanmälan</t>
        </is>
      </c>
      <c r="C607" t="inlineStr">
        <is>
          <t>Föryngringsavverkning</t>
        </is>
      </c>
      <c r="D607" s="1" t="n">
        <v>45597</v>
      </c>
      <c r="E607" s="1" t="n">
        <v>46217</v>
      </c>
      <c r="F607" t="inlineStr">
        <is>
          <t>KRONOBERGS LÄN</t>
        </is>
      </c>
      <c r="G607" t="inlineStr">
        <is>
          <t>UPPVIDINGE</t>
        </is>
      </c>
      <c r="H607" t="inlineStr">
        <is>
          <t>Sveaskog</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49809-2024</t>
        </is>
      </c>
      <c r="B608" t="inlineStr">
        <is>
          <t>avverkningsanmälan</t>
        </is>
      </c>
      <c r="C608" t="inlineStr">
        <is>
          <t>Föryngringsavverkning</t>
        </is>
      </c>
      <c r="D608" s="1" t="n">
        <v>45597</v>
      </c>
      <c r="E608" s="1" t="n">
        <v>46217</v>
      </c>
      <c r="F608" t="inlineStr">
        <is>
          <t>KRONOBERGS LÄN</t>
        </is>
      </c>
      <c r="G608" t="inlineStr">
        <is>
          <t>UPPVIDINGE</t>
        </is>
      </c>
      <c r="H608" t="inlineStr">
        <is>
          <t>Sveaskog</t>
        </is>
      </c>
      <c r="I608" t="n">
        <v>4.7</v>
      </c>
      <c r="J608" t="n">
        <v>0</v>
      </c>
      <c r="K608" t="n">
        <v>0</v>
      </c>
      <c r="L608" t="n">
        <v>0</v>
      </c>
      <c r="M608" t="n">
        <v>0</v>
      </c>
      <c r="N608" t="n">
        <v>0</v>
      </c>
      <c r="O608" t="n">
        <v>0</v>
      </c>
      <c r="P608" t="n">
        <v>0</v>
      </c>
      <c r="Q608" t="n">
        <v>0</v>
      </c>
      <c r="R608" t="n">
        <v>0</v>
      </c>
      <c r="S608" t="n">
        <v>0</v>
      </c>
      <c r="T608" t="n">
        <v>0</v>
      </c>
      <c r="U608" s="2" t="inlineStr"/>
    </row>
    <row r="609" ht="15" customHeight="1">
      <c r="A609" t="inlineStr">
        <is>
          <t>A 24407-2026</t>
        </is>
      </c>
      <c r="B609" t="inlineStr">
        <is>
          <t>avverkningsanmälan</t>
        </is>
      </c>
      <c r="C609" t="inlineStr">
        <is>
          <t>Föryngringsavverkning</t>
        </is>
      </c>
      <c r="D609" s="1" t="n">
        <v>46169</v>
      </c>
      <c r="E609" s="1" t="n">
        <v>46217</v>
      </c>
      <c r="F609" t="inlineStr">
        <is>
          <t>KRONOBERGS LÄN</t>
        </is>
      </c>
      <c r="G609" t="inlineStr">
        <is>
          <t>UPPVIDINGE</t>
        </is>
      </c>
      <c r="I609" t="n">
        <v>6</v>
      </c>
      <c r="J609" t="n">
        <v>0</v>
      </c>
      <c r="K609" t="n">
        <v>0</v>
      </c>
      <c r="L609" t="n">
        <v>0</v>
      </c>
      <c r="M609" t="n">
        <v>0</v>
      </c>
      <c r="N609" t="n">
        <v>0</v>
      </c>
      <c r="O609" t="n">
        <v>0</v>
      </c>
      <c r="P609" t="n">
        <v>0</v>
      </c>
      <c r="Q609" t="n">
        <v>0</v>
      </c>
      <c r="R609" t="n">
        <v>0</v>
      </c>
      <c r="S609" t="n">
        <v>0</v>
      </c>
      <c r="T609" t="n">
        <v>0</v>
      </c>
      <c r="U609" s="2" t="inlineStr"/>
    </row>
    <row r="610" ht="15" customHeight="1">
      <c r="A610" t="inlineStr">
        <is>
          <t>A 17866-2026</t>
        </is>
      </c>
      <c r="B610" t="inlineStr">
        <is>
          <t>avverkningsanmälan</t>
        </is>
      </c>
      <c r="C610" t="inlineStr">
        <is>
          <t>Föryngringsavverkning</t>
        </is>
      </c>
      <c r="D610" s="1" t="n">
        <v>46122</v>
      </c>
      <c r="E610" s="1" t="n">
        <v>46217</v>
      </c>
      <c r="F610" t="inlineStr">
        <is>
          <t>KRONOBERGS LÄN</t>
        </is>
      </c>
      <c r="G610" t="inlineStr">
        <is>
          <t>UPPVIDINGE</t>
        </is>
      </c>
      <c r="I610" t="n">
        <v>12.1</v>
      </c>
      <c r="J610" t="n">
        <v>0</v>
      </c>
      <c r="K610" t="n">
        <v>0</v>
      </c>
      <c r="L610" t="n">
        <v>0</v>
      </c>
      <c r="M610" t="n">
        <v>0</v>
      </c>
      <c r="N610" t="n">
        <v>0</v>
      </c>
      <c r="O610" t="n">
        <v>0</v>
      </c>
      <c r="P610" t="n">
        <v>0</v>
      </c>
      <c r="Q610" t="n">
        <v>0</v>
      </c>
      <c r="R610" t="n">
        <v>0</v>
      </c>
      <c r="S610" t="n">
        <v>0</v>
      </c>
      <c r="T610" t="n">
        <v>0</v>
      </c>
      <c r="U610" s="2" t="inlineStr"/>
    </row>
    <row r="611" ht="15" customHeight="1">
      <c r="A611" t="inlineStr">
        <is>
          <t>A 30701-2026</t>
        </is>
      </c>
      <c r="B611" t="inlineStr">
        <is>
          <t>avverkningsanmälan</t>
        </is>
      </c>
      <c r="C611" t="inlineStr">
        <is>
          <t>Föryngringsavverkning</t>
        </is>
      </c>
      <c r="D611" s="1" t="n">
        <v>46205</v>
      </c>
      <c r="E611" s="1" t="n">
        <v>46217</v>
      </c>
      <c r="F611" t="inlineStr">
        <is>
          <t>KRONOBERGS LÄN</t>
        </is>
      </c>
      <c r="G611" t="inlineStr">
        <is>
          <t>UPPVIDINGE</t>
        </is>
      </c>
      <c r="H611" t="inlineStr">
        <is>
          <t>Kommuner</t>
        </is>
      </c>
      <c r="I611" t="n">
        <v>6.4</v>
      </c>
      <c r="J611" t="n">
        <v>0</v>
      </c>
      <c r="K611" t="n">
        <v>0</v>
      </c>
      <c r="L611" t="n">
        <v>0</v>
      </c>
      <c r="M611" t="n">
        <v>0</v>
      </c>
      <c r="N611" t="n">
        <v>0</v>
      </c>
      <c r="O611" t="n">
        <v>0</v>
      </c>
      <c r="P611" t="n">
        <v>0</v>
      </c>
      <c r="Q611" t="n">
        <v>0</v>
      </c>
      <c r="R611" t="n">
        <v>0</v>
      </c>
      <c r="S611" t="n">
        <v>0</v>
      </c>
      <c r="T611" t="n">
        <v>0</v>
      </c>
      <c r="U611" s="2" t="inlineStr"/>
    </row>
    <row r="612" ht="15" customHeight="1">
      <c r="A612" t="inlineStr">
        <is>
          <t>A 35492-2023</t>
        </is>
      </c>
      <c r="B612" t="inlineStr">
        <is>
          <t>avverkningsanmälan</t>
        </is>
      </c>
      <c r="C612" t="inlineStr">
        <is>
          <t>Föryngringsavverkning</t>
        </is>
      </c>
      <c r="D612" s="1" t="n">
        <v>45146</v>
      </c>
      <c r="E612" s="1" t="n">
        <v>46217</v>
      </c>
      <c r="F612" t="inlineStr">
        <is>
          <t>KRONOBERGS LÄN</t>
        </is>
      </c>
      <c r="G612" t="inlineStr">
        <is>
          <t>UPPVIDINGE</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35494-2023</t>
        </is>
      </c>
      <c r="B613" t="inlineStr">
        <is>
          <t>avverkningsanmälan</t>
        </is>
      </c>
      <c r="C613" t="inlineStr">
        <is>
          <t>Föryngringsavverkning</t>
        </is>
      </c>
      <c r="D613" s="1" t="n">
        <v>45146</v>
      </c>
      <c r="E613" s="1" t="n">
        <v>46217</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s="2" t="inlineStr"/>
    </row>
    <row r="614" ht="15" customHeight="1">
      <c r="A614" t="inlineStr">
        <is>
          <t>A 19034-2025</t>
        </is>
      </c>
      <c r="B614" t="inlineStr">
        <is>
          <t>avverkningsanmälan</t>
        </is>
      </c>
      <c r="C614" t="inlineStr">
        <is>
          <t>Föryngringsavverkning</t>
        </is>
      </c>
      <c r="D614" s="1" t="n">
        <v>45764</v>
      </c>
      <c r="E614" s="1" t="n">
        <v>46217</v>
      </c>
      <c r="F614" t="inlineStr">
        <is>
          <t>KRONOBERGS LÄN</t>
        </is>
      </c>
      <c r="G614" t="inlineStr">
        <is>
          <t>UPPVIDINGE</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1918-2024</t>
        </is>
      </c>
      <c r="B615" t="inlineStr">
        <is>
          <t>avverkningsanmälan</t>
        </is>
      </c>
      <c r="C615" t="inlineStr">
        <is>
          <t>Föryngringsavverkning</t>
        </is>
      </c>
      <c r="D615" s="1" t="n">
        <v>45308</v>
      </c>
      <c r="E615" s="1" t="n">
        <v>46217</v>
      </c>
      <c r="F615" t="inlineStr">
        <is>
          <t>KRONOBERGS LÄN</t>
        </is>
      </c>
      <c r="G615" t="inlineStr">
        <is>
          <t>UPPVIDINGE</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38854-2024</t>
        </is>
      </c>
      <c r="B616" t="inlineStr">
        <is>
          <t>avverkningsanmälan</t>
        </is>
      </c>
      <c r="C616" t="inlineStr">
        <is>
          <t>Avverkning för annat ändamål</t>
        </is>
      </c>
      <c r="D616" s="1" t="n">
        <v>45547</v>
      </c>
      <c r="E616" s="1" t="n">
        <v>46217</v>
      </c>
      <c r="F616" t="inlineStr">
        <is>
          <t>KRONOBERGS LÄN</t>
        </is>
      </c>
      <c r="G616" t="inlineStr">
        <is>
          <t>UPPVIDINGE</t>
        </is>
      </c>
      <c r="I616" t="n">
        <v>0.2</v>
      </c>
      <c r="J616" t="n">
        <v>0</v>
      </c>
      <c r="K616" t="n">
        <v>0</v>
      </c>
      <c r="L616" t="n">
        <v>0</v>
      </c>
      <c r="M616" t="n">
        <v>0</v>
      </c>
      <c r="N616" t="n">
        <v>0</v>
      </c>
      <c r="O616" t="n">
        <v>0</v>
      </c>
      <c r="P616" t="n">
        <v>0</v>
      </c>
      <c r="Q616" t="n">
        <v>0</v>
      </c>
      <c r="R616" t="n">
        <v>0</v>
      </c>
      <c r="S616" t="n">
        <v>0</v>
      </c>
      <c r="T616" t="n">
        <v>0</v>
      </c>
      <c r="U616" s="2" t="inlineStr"/>
    </row>
    <row r="617" ht="15" customHeight="1">
      <c r="A617" t="inlineStr">
        <is>
          <t>A 38855-2024</t>
        </is>
      </c>
      <c r="B617" t="inlineStr">
        <is>
          <t>avverkningsanmälan</t>
        </is>
      </c>
      <c r="C617" t="inlineStr">
        <is>
          <t>Avverkning för annat ändamål</t>
        </is>
      </c>
      <c r="D617" s="1" t="n">
        <v>45547</v>
      </c>
      <c r="E617" s="1" t="n">
        <v>46217</v>
      </c>
      <c r="F617" t="inlineStr">
        <is>
          <t>KRONOBERGS LÄN</t>
        </is>
      </c>
      <c r="G617" t="inlineStr">
        <is>
          <t>UPPVIDINGE</t>
        </is>
      </c>
      <c r="I617" t="n">
        <v>0.4</v>
      </c>
      <c r="J617" t="n">
        <v>0</v>
      </c>
      <c r="K617" t="n">
        <v>0</v>
      </c>
      <c r="L617" t="n">
        <v>0</v>
      </c>
      <c r="M617" t="n">
        <v>0</v>
      </c>
      <c r="N617" t="n">
        <v>0</v>
      </c>
      <c r="O617" t="n">
        <v>0</v>
      </c>
      <c r="P617" t="n">
        <v>0</v>
      </c>
      <c r="Q617" t="n">
        <v>0</v>
      </c>
      <c r="R617" t="n">
        <v>0</v>
      </c>
      <c r="S617" t="n">
        <v>0</v>
      </c>
      <c r="T617" t="n">
        <v>0</v>
      </c>
      <c r="U617" s="2" t="inlineStr"/>
    </row>
    <row r="618" ht="15" customHeight="1">
      <c r="A618" t="inlineStr">
        <is>
          <t>A 25009-2026</t>
        </is>
      </c>
      <c r="B618" t="inlineStr">
        <is>
          <t>avverkningsanmälan</t>
        </is>
      </c>
      <c r="C618" t="inlineStr">
        <is>
          <t>Föryngringsavverkning</t>
        </is>
      </c>
      <c r="D618" s="1" t="n">
        <v>46174</v>
      </c>
      <c r="E618" s="1" t="n">
        <v>46217</v>
      </c>
      <c r="F618" t="inlineStr">
        <is>
          <t>KRONOBERGS LÄN</t>
        </is>
      </c>
      <c r="G618" t="inlineStr">
        <is>
          <t>UPPVIDINGE</t>
        </is>
      </c>
      <c r="H618" t="inlineStr">
        <is>
          <t>Sveaskog</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19070-2026</t>
        </is>
      </c>
      <c r="B619" t="inlineStr">
        <is>
          <t>avverkningsanmälan</t>
        </is>
      </c>
      <c r="C619" t="inlineStr">
        <is>
          <t>Föryngringsavverkning</t>
        </is>
      </c>
      <c r="D619" s="1" t="n">
        <v>46132</v>
      </c>
      <c r="E619" s="1" t="n">
        <v>46217</v>
      </c>
      <c r="F619" t="inlineStr">
        <is>
          <t>KRONOBERGS LÄN</t>
        </is>
      </c>
      <c r="G619" t="inlineStr">
        <is>
          <t>UPPVIDINGE</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19054-2025</t>
        </is>
      </c>
      <c r="B620" t="inlineStr">
        <is>
          <t>avverkningsanmälan</t>
        </is>
      </c>
      <c r="C620" t="inlineStr">
        <is>
          <t>Föryngringsavverkning</t>
        </is>
      </c>
      <c r="D620" s="1" t="n">
        <v>45764</v>
      </c>
      <c r="E620" s="1" t="n">
        <v>46217</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13429-2025</t>
        </is>
      </c>
      <c r="B621" t="inlineStr">
        <is>
          <t>avverkningsanmälan</t>
        </is>
      </c>
      <c r="C621" t="inlineStr">
        <is>
          <t>Föryngringsavverkning</t>
        </is>
      </c>
      <c r="D621" s="1" t="n">
        <v>45736</v>
      </c>
      <c r="E621" s="1" t="n">
        <v>46217</v>
      </c>
      <c r="F621" t="inlineStr">
        <is>
          <t>KRONOBERGS LÄN</t>
        </is>
      </c>
      <c r="G621" t="inlineStr">
        <is>
          <t>UPPVIDINGE</t>
        </is>
      </c>
      <c r="H621" t="inlineStr">
        <is>
          <t>Sveaskog</t>
        </is>
      </c>
      <c r="I621" t="n">
        <v>0.3</v>
      </c>
      <c r="J621" t="n">
        <v>0</v>
      </c>
      <c r="K621" t="n">
        <v>0</v>
      </c>
      <c r="L621" t="n">
        <v>0</v>
      </c>
      <c r="M621" t="n">
        <v>0</v>
      </c>
      <c r="N621" t="n">
        <v>0</v>
      </c>
      <c r="O621" t="n">
        <v>0</v>
      </c>
      <c r="P621" t="n">
        <v>0</v>
      </c>
      <c r="Q621" t="n">
        <v>0</v>
      </c>
      <c r="R621" t="n">
        <v>0</v>
      </c>
      <c r="S621" t="n">
        <v>0</v>
      </c>
      <c r="T621" t="n">
        <v>0</v>
      </c>
      <c r="U621" s="2" t="inlineStr"/>
    </row>
    <row r="622" ht="15" customHeight="1">
      <c r="A622" t="inlineStr">
        <is>
          <t>A 19160-2026</t>
        </is>
      </c>
      <c r="B622" t="inlineStr">
        <is>
          <t>avverkningsanmälan</t>
        </is>
      </c>
      <c r="C622" t="inlineStr">
        <is>
          <t>Föryngringsavverkning</t>
        </is>
      </c>
      <c r="D622" s="1" t="n">
        <v>46132</v>
      </c>
      <c r="E622" s="1" t="n">
        <v>46217</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s="2" t="inlineStr"/>
    </row>
    <row r="623" ht="15" customHeight="1">
      <c r="A623" t="inlineStr">
        <is>
          <t>A 15486-2026</t>
        </is>
      </c>
      <c r="B623" t="inlineStr">
        <is>
          <t>avverkningsanmälan</t>
        </is>
      </c>
      <c r="C623" t="inlineStr">
        <is>
          <t>Föryngringsavverkning</t>
        </is>
      </c>
      <c r="D623" s="1" t="n">
        <v>46106</v>
      </c>
      <c r="E623" s="1" t="n">
        <v>46217</v>
      </c>
      <c r="F623" t="inlineStr">
        <is>
          <t>KRONOBERGS LÄN</t>
        </is>
      </c>
      <c r="G623" t="inlineStr">
        <is>
          <t>UPPVIDINGE</t>
        </is>
      </c>
      <c r="H623" t="inlineStr">
        <is>
          <t>Sveaskog</t>
        </is>
      </c>
      <c r="I623" t="n">
        <v>4.9</v>
      </c>
      <c r="J623" t="n">
        <v>0</v>
      </c>
      <c r="K623" t="n">
        <v>0</v>
      </c>
      <c r="L623" t="n">
        <v>0</v>
      </c>
      <c r="M623" t="n">
        <v>0</v>
      </c>
      <c r="N623" t="n">
        <v>0</v>
      </c>
      <c r="O623" t="n">
        <v>0</v>
      </c>
      <c r="P623" t="n">
        <v>0</v>
      </c>
      <c r="Q623" t="n">
        <v>0</v>
      </c>
      <c r="R623" t="n">
        <v>0</v>
      </c>
      <c r="S623" t="n">
        <v>0</v>
      </c>
      <c r="T623" t="n">
        <v>0</v>
      </c>
      <c r="U623" s="2" t="inlineStr"/>
    </row>
    <row r="624" ht="15" customHeight="1">
      <c r="A624" t="inlineStr">
        <is>
          <t>A 15481-2026</t>
        </is>
      </c>
      <c r="B624" t="inlineStr">
        <is>
          <t>avverkningsanmälan</t>
        </is>
      </c>
      <c r="C624" t="inlineStr">
        <is>
          <t>Föryngringsavverkning</t>
        </is>
      </c>
      <c r="D624" s="1" t="n">
        <v>46106</v>
      </c>
      <c r="E624" s="1" t="n">
        <v>46217</v>
      </c>
      <c r="F624" t="inlineStr">
        <is>
          <t>KRONOBERGS LÄN</t>
        </is>
      </c>
      <c r="G624" t="inlineStr">
        <is>
          <t>UPPVIDINGE</t>
        </is>
      </c>
      <c r="H624" t="inlineStr">
        <is>
          <t>Sveaskog</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19150-2026</t>
        </is>
      </c>
      <c r="B625" t="inlineStr">
        <is>
          <t>avverkningsanmälan</t>
        </is>
      </c>
      <c r="C625" t="inlineStr">
        <is>
          <t>Föryngringsavverkning</t>
        </is>
      </c>
      <c r="D625" s="1" t="n">
        <v>46132</v>
      </c>
      <c r="E625" s="1" t="n">
        <v>46217</v>
      </c>
      <c r="F625" t="inlineStr">
        <is>
          <t>KRONOBERGS LÄN</t>
        </is>
      </c>
      <c r="G625" t="inlineStr">
        <is>
          <t>UPPVIDINGE</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19622-2025</t>
        </is>
      </c>
      <c r="B626" t="inlineStr">
        <is>
          <t>avverkningsanmälan</t>
        </is>
      </c>
      <c r="C626" t="inlineStr">
        <is>
          <t>Avverkning för annat ändamål</t>
        </is>
      </c>
      <c r="D626" s="1" t="n">
        <v>45770</v>
      </c>
      <c r="E626" s="1" t="n">
        <v>46217</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25015-2026</t>
        </is>
      </c>
      <c r="B627" t="inlineStr">
        <is>
          <t>avverkningsanmälan</t>
        </is>
      </c>
      <c r="C627" t="inlineStr">
        <is>
          <t>Föryngringsavverkning</t>
        </is>
      </c>
      <c r="D627" s="1" t="n">
        <v>46174</v>
      </c>
      <c r="E627" s="1" t="n">
        <v>46217</v>
      </c>
      <c r="F627" t="inlineStr">
        <is>
          <t>KRONOBERGS LÄN</t>
        </is>
      </c>
      <c r="G627" t="inlineStr">
        <is>
          <t>UPPVIDINGE</t>
        </is>
      </c>
      <c r="H627" t="inlineStr">
        <is>
          <t>Sveaskog</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30258-2026</t>
        </is>
      </c>
      <c r="B628" t="inlineStr">
        <is>
          <t>avverkningsanmälan</t>
        </is>
      </c>
      <c r="C628" t="inlineStr">
        <is>
          <t>Föryngringsavverkning</t>
        </is>
      </c>
      <c r="D628" s="1" t="n">
        <v>46206</v>
      </c>
      <c r="E628" s="1" t="n">
        <v>46217</v>
      </c>
      <c r="F628" t="inlineStr">
        <is>
          <t>KRONOBERGS LÄN</t>
        </is>
      </c>
      <c r="G628" t="inlineStr">
        <is>
          <t>UPPVIDINGE</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62176-2022</t>
        </is>
      </c>
      <c r="B629" t="inlineStr">
        <is>
          <t>avverkningsanmälan</t>
        </is>
      </c>
      <c r="C629" t="inlineStr">
        <is>
          <t>Föryngringsavverkning</t>
        </is>
      </c>
      <c r="D629" s="1" t="n">
        <v>44922</v>
      </c>
      <c r="E629" s="1" t="n">
        <v>46217</v>
      </c>
      <c r="F629" t="inlineStr">
        <is>
          <t>KRONOBERGS LÄN</t>
        </is>
      </c>
      <c r="G629" t="inlineStr">
        <is>
          <t>UPPVIDINGE</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25001-2026</t>
        </is>
      </c>
      <c r="B630" t="inlineStr">
        <is>
          <t>avverkningsanmälan</t>
        </is>
      </c>
      <c r="C630" t="inlineStr">
        <is>
          <t>Föryngringsavverkning</t>
        </is>
      </c>
      <c r="D630" s="1" t="n">
        <v>46174</v>
      </c>
      <c r="E630" s="1" t="n">
        <v>46217</v>
      </c>
      <c r="F630" t="inlineStr">
        <is>
          <t>KRONOBERGS LÄN</t>
        </is>
      </c>
      <c r="G630" t="inlineStr">
        <is>
          <t>UPPVIDINGE</t>
        </is>
      </c>
      <c r="H630" t="inlineStr">
        <is>
          <t>Sveaskog</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25008-2026</t>
        </is>
      </c>
      <c r="B631" t="inlineStr">
        <is>
          <t>avverkningsanmälan</t>
        </is>
      </c>
      <c r="C631" t="inlineStr">
        <is>
          <t>Föryngringsavverkning</t>
        </is>
      </c>
      <c r="D631" s="1" t="n">
        <v>46174</v>
      </c>
      <c r="E631" s="1" t="n">
        <v>46217</v>
      </c>
      <c r="F631" t="inlineStr">
        <is>
          <t>KRONOBERGS LÄN</t>
        </is>
      </c>
      <c r="G631" t="inlineStr">
        <is>
          <t>UPPVIDINGE</t>
        </is>
      </c>
      <c r="H631" t="inlineStr">
        <is>
          <t>Sveaskog</t>
        </is>
      </c>
      <c r="I631" t="n">
        <v>2.9</v>
      </c>
      <c r="J631" t="n">
        <v>0</v>
      </c>
      <c r="K631" t="n">
        <v>0</v>
      </c>
      <c r="L631" t="n">
        <v>0</v>
      </c>
      <c r="M631" t="n">
        <v>0</v>
      </c>
      <c r="N631" t="n">
        <v>0</v>
      </c>
      <c r="O631" t="n">
        <v>0</v>
      </c>
      <c r="P631" t="n">
        <v>0</v>
      </c>
      <c r="Q631" t="n">
        <v>0</v>
      </c>
      <c r="R631" t="n">
        <v>0</v>
      </c>
      <c r="S631" t="n">
        <v>0</v>
      </c>
      <c r="T631" t="n">
        <v>0</v>
      </c>
      <c r="U631" s="2" t="inlineStr"/>
    </row>
    <row r="632" ht="15" customHeight="1">
      <c r="A632" t="inlineStr">
        <is>
          <t>A 25013-2026</t>
        </is>
      </c>
      <c r="B632" t="inlineStr">
        <is>
          <t>avverkningsanmälan</t>
        </is>
      </c>
      <c r="C632" t="inlineStr">
        <is>
          <t>Föryngringsavverkning</t>
        </is>
      </c>
      <c r="D632" s="1" t="n">
        <v>46174</v>
      </c>
      <c r="E632" s="1" t="n">
        <v>46217</v>
      </c>
      <c r="F632" t="inlineStr">
        <is>
          <t>KRONOBERGS LÄN</t>
        </is>
      </c>
      <c r="G632" t="inlineStr">
        <is>
          <t>UPPVIDINGE</t>
        </is>
      </c>
      <c r="H632" t="inlineStr">
        <is>
          <t>Sveaskog</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25014-2026</t>
        </is>
      </c>
      <c r="B633" t="inlineStr">
        <is>
          <t>avverkningsanmälan</t>
        </is>
      </c>
      <c r="C633" t="inlineStr">
        <is>
          <t>Föryngringsavverkning</t>
        </is>
      </c>
      <c r="D633" s="1" t="n">
        <v>46174</v>
      </c>
      <c r="E633" s="1" t="n">
        <v>46217</v>
      </c>
      <c r="F633" t="inlineStr">
        <is>
          <t>KRONOBERGS LÄN</t>
        </is>
      </c>
      <c r="G633" t="inlineStr">
        <is>
          <t>UPPVIDINGE</t>
        </is>
      </c>
      <c r="H633" t="inlineStr">
        <is>
          <t>Sveaskog</t>
        </is>
      </c>
      <c r="I633" t="n">
        <v>3.1</v>
      </c>
      <c r="J633" t="n">
        <v>0</v>
      </c>
      <c r="K633" t="n">
        <v>0</v>
      </c>
      <c r="L633" t="n">
        <v>0</v>
      </c>
      <c r="M633" t="n">
        <v>0</v>
      </c>
      <c r="N633" t="n">
        <v>0</v>
      </c>
      <c r="O633" t="n">
        <v>0</v>
      </c>
      <c r="P633" t="n">
        <v>0</v>
      </c>
      <c r="Q633" t="n">
        <v>0</v>
      </c>
      <c r="R633" t="n">
        <v>0</v>
      </c>
      <c r="S633" t="n">
        <v>0</v>
      </c>
      <c r="T633" t="n">
        <v>0</v>
      </c>
      <c r="U633" s="2" t="inlineStr"/>
    </row>
    <row r="634" ht="15" customHeight="1">
      <c r="A634" t="inlineStr">
        <is>
          <t>A 6338-2024</t>
        </is>
      </c>
      <c r="B634" t="inlineStr">
        <is>
          <t>avverkningsanmälan</t>
        </is>
      </c>
      <c r="C634" t="inlineStr">
        <is>
          <t>Föryngringsavverkning</t>
        </is>
      </c>
      <c r="D634" s="1" t="n">
        <v>45338</v>
      </c>
      <c r="E634" s="1" t="n">
        <v>46217</v>
      </c>
      <c r="F634" t="inlineStr">
        <is>
          <t>KRONOBERGS LÄN</t>
        </is>
      </c>
      <c r="G634" t="inlineStr">
        <is>
          <t>UPPVIDINGE</t>
        </is>
      </c>
      <c r="H634" t="inlineStr">
        <is>
          <t>Sveaskog</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57651-2022</t>
        </is>
      </c>
      <c r="B635" t="inlineStr">
        <is>
          <t>avverkningsanmälan</t>
        </is>
      </c>
      <c r="C635" t="inlineStr">
        <is>
          <t>Föryngringsavverkning</t>
        </is>
      </c>
      <c r="D635" s="1" t="n">
        <v>44897</v>
      </c>
      <c r="E635" s="1" t="n">
        <v>46217</v>
      </c>
      <c r="F635" t="inlineStr">
        <is>
          <t>KRONOBERGS LÄN</t>
        </is>
      </c>
      <c r="G635" t="inlineStr">
        <is>
          <t>UPPVIDINGE</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50487-2021</t>
        </is>
      </c>
      <c r="B636" t="inlineStr">
        <is>
          <t>avverkningsanmälan</t>
        </is>
      </c>
      <c r="C636" t="inlineStr">
        <is>
          <t>Föryngringsavverkning</t>
        </is>
      </c>
      <c r="D636" s="1" t="n">
        <v>44459</v>
      </c>
      <c r="E636" s="1" t="n">
        <v>46217</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4169-2023</t>
        </is>
      </c>
      <c r="B637" t="inlineStr">
        <is>
          <t>avverkningsanmälan</t>
        </is>
      </c>
      <c r="C637" t="inlineStr">
        <is>
          <t>Föryngringsavverkning</t>
        </is>
      </c>
      <c r="D637" s="1" t="n">
        <v>44951</v>
      </c>
      <c r="E637" s="1" t="n">
        <v>46217</v>
      </c>
      <c r="F637" t="inlineStr">
        <is>
          <t>KRONOBERGS LÄN</t>
        </is>
      </c>
      <c r="G637" t="inlineStr">
        <is>
          <t>UPPVIDINGE</t>
        </is>
      </c>
      <c r="I637" t="n">
        <v>1</v>
      </c>
      <c r="J637" t="n">
        <v>0</v>
      </c>
      <c r="K637" t="n">
        <v>0</v>
      </c>
      <c r="L637" t="n">
        <v>0</v>
      </c>
      <c r="M637" t="n">
        <v>0</v>
      </c>
      <c r="N637" t="n">
        <v>0</v>
      </c>
      <c r="O637" t="n">
        <v>0</v>
      </c>
      <c r="P637" t="n">
        <v>0</v>
      </c>
      <c r="Q637" t="n">
        <v>0</v>
      </c>
      <c r="R637" t="n">
        <v>0</v>
      </c>
      <c r="S637" t="n">
        <v>0</v>
      </c>
      <c r="T637" t="n">
        <v>0</v>
      </c>
      <c r="U637" s="2" t="inlineStr"/>
    </row>
    <row r="638" ht="15" customHeight="1">
      <c r="A638" t="inlineStr">
        <is>
          <t>A 3604-2023</t>
        </is>
      </c>
      <c r="B638" t="inlineStr">
        <is>
          <t>avverkningsanmälan</t>
        </is>
      </c>
      <c r="C638" t="inlineStr">
        <is>
          <t>Föryngringsavverkning</t>
        </is>
      </c>
      <c r="D638" s="1" t="n">
        <v>44946</v>
      </c>
      <c r="E638" s="1" t="n">
        <v>46217</v>
      </c>
      <c r="F638" t="inlineStr">
        <is>
          <t>KRONOBERGS LÄN</t>
        </is>
      </c>
      <c r="G638" t="inlineStr">
        <is>
          <t>UPPVIDINGE</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41810-2024</t>
        </is>
      </c>
      <c r="B639" t="inlineStr">
        <is>
          <t>avverkningsanmälan</t>
        </is>
      </c>
      <c r="C639" t="inlineStr">
        <is>
          <t>Föryngringsavverkning</t>
        </is>
      </c>
      <c r="D639" s="1" t="n">
        <v>45561</v>
      </c>
      <c r="E639" s="1" t="n">
        <v>46217</v>
      </c>
      <c r="F639" t="inlineStr">
        <is>
          <t>KRONOBERGS LÄN</t>
        </is>
      </c>
      <c r="G639" t="inlineStr">
        <is>
          <t>UPPVIDINGE</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73667-2021</t>
        </is>
      </c>
      <c r="B640" t="inlineStr">
        <is>
          <t>avverkningsanmälan</t>
        </is>
      </c>
      <c r="C640" t="inlineStr">
        <is>
          <t>Föryngringsavverkning</t>
        </is>
      </c>
      <c r="D640" s="1" t="n">
        <v>44552</v>
      </c>
      <c r="E640" s="1" t="n">
        <v>46217</v>
      </c>
      <c r="F640" t="inlineStr">
        <is>
          <t>KRONOBERGS LÄN</t>
        </is>
      </c>
      <c r="G640" t="inlineStr">
        <is>
          <t>UPPVIDINGE</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69941-2021</t>
        </is>
      </c>
      <c r="B641" t="inlineStr">
        <is>
          <t>avverkningsanmälan</t>
        </is>
      </c>
      <c r="C641" t="inlineStr">
        <is>
          <t>Föryngringsavverkning</t>
        </is>
      </c>
      <c r="D641" s="1" t="n">
        <v>44533</v>
      </c>
      <c r="E641" s="1" t="n">
        <v>46217</v>
      </c>
      <c r="F641" t="inlineStr">
        <is>
          <t>KRONOBERGS LÄN</t>
        </is>
      </c>
      <c r="G641" t="inlineStr">
        <is>
          <t>UPPVIDINGE</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39095-2023</t>
        </is>
      </c>
      <c r="B642" t="inlineStr">
        <is>
          <t>avverkningsanmälan</t>
        </is>
      </c>
      <c r="C642" t="inlineStr">
        <is>
          <t>Föryngringsavverkning</t>
        </is>
      </c>
      <c r="D642" s="1" t="n">
        <v>45164</v>
      </c>
      <c r="E642" s="1" t="n">
        <v>46217</v>
      </c>
      <c r="F642" t="inlineStr">
        <is>
          <t>KRONOBERGS LÄN</t>
        </is>
      </c>
      <c r="G642" t="inlineStr">
        <is>
          <t>UPPVIDINGE</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12427-2022</t>
        </is>
      </c>
      <c r="B643" t="inlineStr">
        <is>
          <t>avverkningsanmälan</t>
        </is>
      </c>
      <c r="C643" t="inlineStr">
        <is>
          <t>Föryngringsavverkning</t>
        </is>
      </c>
      <c r="D643" s="1" t="n">
        <v>44638</v>
      </c>
      <c r="E643" s="1" t="n">
        <v>46217</v>
      </c>
      <c r="F643" t="inlineStr">
        <is>
          <t>KRONOBERGS LÄN</t>
        </is>
      </c>
      <c r="G643" t="inlineStr">
        <is>
          <t>UPPVIDINGE</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53497-2023</t>
        </is>
      </c>
      <c r="B644" t="inlineStr">
        <is>
          <t>avverkningsanmälan</t>
        </is>
      </c>
      <c r="C644" t="inlineStr">
        <is>
          <t>Föryngringsavverkning</t>
        </is>
      </c>
      <c r="D644" s="1" t="n">
        <v>45230</v>
      </c>
      <c r="E644" s="1" t="n">
        <v>46217</v>
      </c>
      <c r="F644" t="inlineStr">
        <is>
          <t>KRONOBERGS LÄN</t>
        </is>
      </c>
      <c r="G644" t="inlineStr">
        <is>
          <t>UPPVIDINGE</t>
        </is>
      </c>
      <c r="H644" t="inlineStr">
        <is>
          <t>Sveaskog</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55327-2022</t>
        </is>
      </c>
      <c r="B645" t="inlineStr">
        <is>
          <t>avverkningsanmälan</t>
        </is>
      </c>
      <c r="C645" t="inlineStr">
        <is>
          <t>Föryngringsavverkning</t>
        </is>
      </c>
      <c r="D645" s="1" t="n">
        <v>44887</v>
      </c>
      <c r="E645" s="1" t="n">
        <v>46217</v>
      </c>
      <c r="F645" t="inlineStr">
        <is>
          <t>KRONOBERGS LÄN</t>
        </is>
      </c>
      <c r="G645" t="inlineStr">
        <is>
          <t>UPPVIDINGE</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53434-2021</t>
        </is>
      </c>
      <c r="B646" t="inlineStr">
        <is>
          <t>avverkningsanmälan</t>
        </is>
      </c>
      <c r="C646" t="inlineStr">
        <is>
          <t>Föryngringsavverkning</t>
        </is>
      </c>
      <c r="D646" s="1" t="n">
        <v>44468</v>
      </c>
      <c r="E646" s="1" t="n">
        <v>46217</v>
      </c>
      <c r="F646" t="inlineStr">
        <is>
          <t>KRONOBERGS LÄN</t>
        </is>
      </c>
      <c r="G646" t="inlineStr">
        <is>
          <t>UPPVIDINGE</t>
        </is>
      </c>
      <c r="I646" t="n">
        <v>5.1</v>
      </c>
      <c r="J646" t="n">
        <v>0</v>
      </c>
      <c r="K646" t="n">
        <v>0</v>
      </c>
      <c r="L646" t="n">
        <v>0</v>
      </c>
      <c r="M646" t="n">
        <v>0</v>
      </c>
      <c r="N646" t="n">
        <v>0</v>
      </c>
      <c r="O646" t="n">
        <v>0</v>
      </c>
      <c r="P646" t="n">
        <v>0</v>
      </c>
      <c r="Q646" t="n">
        <v>0</v>
      </c>
      <c r="R646" t="n">
        <v>0</v>
      </c>
      <c r="S646" t="n">
        <v>0</v>
      </c>
      <c r="T646" t="n">
        <v>0</v>
      </c>
      <c r="U646" s="2" t="inlineStr"/>
    </row>
    <row r="647" ht="15" customHeight="1">
      <c r="A647" t="inlineStr">
        <is>
          <t>A 14952-2024</t>
        </is>
      </c>
      <c r="B647" t="inlineStr">
        <is>
          <t>avverkningsanmälan</t>
        </is>
      </c>
      <c r="C647" t="inlineStr">
        <is>
          <t>Föryngringsavverkning</t>
        </is>
      </c>
      <c r="D647" s="1" t="n">
        <v>45398</v>
      </c>
      <c r="E647" s="1" t="n">
        <v>46217</v>
      </c>
      <c r="F647" t="inlineStr">
        <is>
          <t>KRONOBERGS LÄN</t>
        </is>
      </c>
      <c r="G647" t="inlineStr">
        <is>
          <t>UPPVIDINGE</t>
        </is>
      </c>
      <c r="I647" t="n">
        <v>3.1</v>
      </c>
      <c r="J647" t="n">
        <v>0</v>
      </c>
      <c r="K647" t="n">
        <v>0</v>
      </c>
      <c r="L647" t="n">
        <v>0</v>
      </c>
      <c r="M647" t="n">
        <v>0</v>
      </c>
      <c r="N647" t="n">
        <v>0</v>
      </c>
      <c r="O647" t="n">
        <v>0</v>
      </c>
      <c r="P647" t="n">
        <v>0</v>
      </c>
      <c r="Q647" t="n">
        <v>0</v>
      </c>
      <c r="R647" t="n">
        <v>0</v>
      </c>
      <c r="S647" t="n">
        <v>0</v>
      </c>
      <c r="T647" t="n">
        <v>0</v>
      </c>
      <c r="U647" s="2" t="inlineStr"/>
    </row>
    <row r="648" ht="15" customHeight="1">
      <c r="A648" t="inlineStr">
        <is>
          <t>A 51915-2024</t>
        </is>
      </c>
      <c r="B648" t="inlineStr">
        <is>
          <t>avverkningsanmälan</t>
        </is>
      </c>
      <c r="C648" t="inlineStr">
        <is>
          <t>Föryngringsavverkning</t>
        </is>
      </c>
      <c r="D648" s="1" t="n">
        <v>45607</v>
      </c>
      <c r="E648" s="1" t="n">
        <v>46217</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49425-2024</t>
        </is>
      </c>
      <c r="B649" t="inlineStr">
        <is>
          <t>avverkningsanmälan</t>
        </is>
      </c>
      <c r="C649" t="inlineStr">
        <is>
          <t>Föryngringsavverkning</t>
        </is>
      </c>
      <c r="D649" s="1" t="n">
        <v>45595</v>
      </c>
      <c r="E649" s="1" t="n">
        <v>46217</v>
      </c>
      <c r="F649" t="inlineStr">
        <is>
          <t>KRONOBERGS LÄN</t>
        </is>
      </c>
      <c r="G649" t="inlineStr">
        <is>
          <t>UPPVIDINGE</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38547-2024</t>
        </is>
      </c>
      <c r="B650" t="inlineStr">
        <is>
          <t>avverkningsanmälan</t>
        </is>
      </c>
      <c r="C650" t="inlineStr">
        <is>
          <t>Föryngringsavverkning</t>
        </is>
      </c>
      <c r="D650" s="1" t="n">
        <v>45546</v>
      </c>
      <c r="E650" s="1" t="n">
        <v>46217</v>
      </c>
      <c r="F650" t="inlineStr">
        <is>
          <t>KRONOBERGS LÄN</t>
        </is>
      </c>
      <c r="G650" t="inlineStr">
        <is>
          <t>UPPVIDINGE</t>
        </is>
      </c>
      <c r="I650" t="n">
        <v>3.8</v>
      </c>
      <c r="J650" t="n">
        <v>0</v>
      </c>
      <c r="K650" t="n">
        <v>0</v>
      </c>
      <c r="L650" t="n">
        <v>0</v>
      </c>
      <c r="M650" t="n">
        <v>0</v>
      </c>
      <c r="N650" t="n">
        <v>0</v>
      </c>
      <c r="O650" t="n">
        <v>0</v>
      </c>
      <c r="P650" t="n">
        <v>0</v>
      </c>
      <c r="Q650" t="n">
        <v>0</v>
      </c>
      <c r="R650" t="n">
        <v>0</v>
      </c>
      <c r="S650" t="n">
        <v>0</v>
      </c>
      <c r="T650" t="n">
        <v>0</v>
      </c>
      <c r="U650" s="2" t="inlineStr"/>
    </row>
    <row r="651" ht="15" customHeight="1">
      <c r="A651" t="inlineStr">
        <is>
          <t>A 52865-2023</t>
        </is>
      </c>
      <c r="B651" t="inlineStr">
        <is>
          <t>avverkningsanmälan</t>
        </is>
      </c>
      <c r="C651" t="inlineStr">
        <is>
          <t>Föryngringsavverkning</t>
        </is>
      </c>
      <c r="D651" s="1" t="n">
        <v>45226</v>
      </c>
      <c r="E651" s="1" t="n">
        <v>46217</v>
      </c>
      <c r="F651" t="inlineStr">
        <is>
          <t>KRONOBERGS LÄN</t>
        </is>
      </c>
      <c r="G651" t="inlineStr">
        <is>
          <t>UPPVIDINGE</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23784-2024</t>
        </is>
      </c>
      <c r="B652" t="inlineStr">
        <is>
          <t>avverkningsanmälan</t>
        </is>
      </c>
      <c r="C652" t="inlineStr">
        <is>
          <t>Föryngringsavverkning</t>
        </is>
      </c>
      <c r="D652" s="1" t="n">
        <v>45455</v>
      </c>
      <c r="E652" s="1" t="n">
        <v>46217</v>
      </c>
      <c r="F652" t="inlineStr">
        <is>
          <t>KRONOBERGS LÄN</t>
        </is>
      </c>
      <c r="G652" t="inlineStr">
        <is>
          <t>UPPVIDINGE</t>
        </is>
      </c>
      <c r="H652" t="inlineStr">
        <is>
          <t>Kyrkan</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54290-2023</t>
        </is>
      </c>
      <c r="B653" t="inlineStr">
        <is>
          <t>avverkningsanmälan</t>
        </is>
      </c>
      <c r="C653" t="inlineStr">
        <is>
          <t>Föryngringsavverkning</t>
        </is>
      </c>
      <c r="D653" s="1" t="n">
        <v>45232</v>
      </c>
      <c r="E653" s="1" t="n">
        <v>46217</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43403-2024</t>
        </is>
      </c>
      <c r="B654" t="inlineStr">
        <is>
          <t>avverkningsanmälan</t>
        </is>
      </c>
      <c r="C654" t="inlineStr">
        <is>
          <t>Föryngringsavverkning</t>
        </is>
      </c>
      <c r="D654" s="1" t="n">
        <v>45568</v>
      </c>
      <c r="E654" s="1" t="n">
        <v>46217</v>
      </c>
      <c r="F654" t="inlineStr">
        <is>
          <t>KRONOBERGS LÄN</t>
        </is>
      </c>
      <c r="G654" t="inlineStr">
        <is>
          <t>UPPVIDINGE</t>
        </is>
      </c>
      <c r="H654" t="inlineStr">
        <is>
          <t>Kyrkan</t>
        </is>
      </c>
      <c r="I654" t="n">
        <v>5.8</v>
      </c>
      <c r="J654" t="n">
        <v>0</v>
      </c>
      <c r="K654" t="n">
        <v>0</v>
      </c>
      <c r="L654" t="n">
        <v>0</v>
      </c>
      <c r="M654" t="n">
        <v>0</v>
      </c>
      <c r="N654" t="n">
        <v>0</v>
      </c>
      <c r="O654" t="n">
        <v>0</v>
      </c>
      <c r="P654" t="n">
        <v>0</v>
      </c>
      <c r="Q654" t="n">
        <v>0</v>
      </c>
      <c r="R654" t="n">
        <v>0</v>
      </c>
      <c r="S654" t="n">
        <v>0</v>
      </c>
      <c r="T654" t="n">
        <v>0</v>
      </c>
      <c r="U654" s="2" t="inlineStr"/>
    </row>
    <row r="655" ht="15" customHeight="1">
      <c r="A655" t="inlineStr">
        <is>
          <t>A 63553-2023</t>
        </is>
      </c>
      <c r="B655" t="inlineStr">
        <is>
          <t>avverkningsanmälan</t>
        </is>
      </c>
      <c r="C655" t="inlineStr">
        <is>
          <t>Föryngringsavverkning</t>
        </is>
      </c>
      <c r="D655" s="1" t="n">
        <v>45275</v>
      </c>
      <c r="E655" s="1" t="n">
        <v>46217</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57365-2023</t>
        </is>
      </c>
      <c r="B656" t="inlineStr">
        <is>
          <t>avverkningsanmälan</t>
        </is>
      </c>
      <c r="C656" t="inlineStr">
        <is>
          <t>Föryngringsavverkning</t>
        </is>
      </c>
      <c r="D656" s="1" t="n">
        <v>45245</v>
      </c>
      <c r="E656" s="1" t="n">
        <v>46217</v>
      </c>
      <c r="F656" t="inlineStr">
        <is>
          <t>KRONOBERGS LÄN</t>
        </is>
      </c>
      <c r="G656" t="inlineStr">
        <is>
          <t>UPPVIDINGE</t>
        </is>
      </c>
      <c r="I656" t="n">
        <v>1.4</v>
      </c>
      <c r="J656" t="n">
        <v>0</v>
      </c>
      <c r="K656" t="n">
        <v>0</v>
      </c>
      <c r="L656" t="n">
        <v>0</v>
      </c>
      <c r="M656" t="n">
        <v>0</v>
      </c>
      <c r="N656" t="n">
        <v>0</v>
      </c>
      <c r="O656" t="n">
        <v>0</v>
      </c>
      <c r="P656" t="n">
        <v>0</v>
      </c>
      <c r="Q656" t="n">
        <v>0</v>
      </c>
      <c r="R656" t="n">
        <v>0</v>
      </c>
      <c r="S656" t="n">
        <v>0</v>
      </c>
      <c r="T656" t="n">
        <v>0</v>
      </c>
      <c r="U656" s="2" t="inlineStr"/>
    </row>
    <row r="657" ht="15" customHeight="1">
      <c r="A657" t="inlineStr">
        <is>
          <t>A 21868-2022</t>
        </is>
      </c>
      <c r="B657" t="inlineStr">
        <is>
          <t>avverkningsanmälan</t>
        </is>
      </c>
      <c r="C657" t="inlineStr">
        <is>
          <t>Föryngringsavverkning</t>
        </is>
      </c>
      <c r="D657" s="1" t="n">
        <v>44711</v>
      </c>
      <c r="E657" s="1" t="n">
        <v>46217</v>
      </c>
      <c r="F657" t="inlineStr">
        <is>
          <t>KRONOBERGS LÄN</t>
        </is>
      </c>
      <c r="G657" t="inlineStr">
        <is>
          <t>UPPVIDINGE</t>
        </is>
      </c>
      <c r="I657" t="n">
        <v>2.2</v>
      </c>
      <c r="J657" t="n">
        <v>0</v>
      </c>
      <c r="K657" t="n">
        <v>0</v>
      </c>
      <c r="L657" t="n">
        <v>0</v>
      </c>
      <c r="M657" t="n">
        <v>0</v>
      </c>
      <c r="N657" t="n">
        <v>0</v>
      </c>
      <c r="O657" t="n">
        <v>0</v>
      </c>
      <c r="P657" t="n">
        <v>0</v>
      </c>
      <c r="Q657" t="n">
        <v>0</v>
      </c>
      <c r="R657" t="n">
        <v>0</v>
      </c>
      <c r="S657" t="n">
        <v>0</v>
      </c>
      <c r="T657" t="n">
        <v>0</v>
      </c>
      <c r="U657" s="2" t="inlineStr"/>
    </row>
    <row r="658" ht="15" customHeight="1">
      <c r="A658" t="inlineStr">
        <is>
          <t>A 11650-2023</t>
        </is>
      </c>
      <c r="B658" t="inlineStr">
        <is>
          <t>avverkningsanmälan</t>
        </is>
      </c>
      <c r="C658" t="inlineStr">
        <is>
          <t>Föryngringsavverkning</t>
        </is>
      </c>
      <c r="D658" s="1" t="n">
        <v>44994</v>
      </c>
      <c r="E658" s="1" t="n">
        <v>46217</v>
      </c>
      <c r="F658" t="inlineStr">
        <is>
          <t>KRONOBERGS LÄN</t>
        </is>
      </c>
      <c r="G658" t="inlineStr">
        <is>
          <t>UPPVIDINGE</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41168-2023</t>
        </is>
      </c>
      <c r="B659" t="inlineStr">
        <is>
          <t>avverkningsanmälan</t>
        </is>
      </c>
      <c r="C659" t="inlineStr">
        <is>
          <t>Föryngringsavverkning</t>
        </is>
      </c>
      <c r="D659" s="1" t="n">
        <v>45174</v>
      </c>
      <c r="E659" s="1" t="n">
        <v>46217</v>
      </c>
      <c r="F659" t="inlineStr">
        <is>
          <t>KRONOBERGS LÄN</t>
        </is>
      </c>
      <c r="G659" t="inlineStr">
        <is>
          <t>UPPVIDINGE</t>
        </is>
      </c>
      <c r="I659" t="n">
        <v>6.7</v>
      </c>
      <c r="J659" t="n">
        <v>0</v>
      </c>
      <c r="K659" t="n">
        <v>0</v>
      </c>
      <c r="L659" t="n">
        <v>0</v>
      </c>
      <c r="M659" t="n">
        <v>0</v>
      </c>
      <c r="N659" t="n">
        <v>0</v>
      </c>
      <c r="O659" t="n">
        <v>0</v>
      </c>
      <c r="P659" t="n">
        <v>0</v>
      </c>
      <c r="Q659" t="n">
        <v>0</v>
      </c>
      <c r="R659" t="n">
        <v>0</v>
      </c>
      <c r="S659" t="n">
        <v>0</v>
      </c>
      <c r="T659" t="n">
        <v>0</v>
      </c>
      <c r="U659" s="2" t="inlineStr"/>
    </row>
    <row r="660" ht="15" customHeight="1">
      <c r="A660" t="inlineStr">
        <is>
          <t>A 61134-2022</t>
        </is>
      </c>
      <c r="B660" t="inlineStr">
        <is>
          <t>avverkningsanmälan</t>
        </is>
      </c>
      <c r="C660" t="inlineStr">
        <is>
          <t>Föryngringsavverkning</t>
        </is>
      </c>
      <c r="D660" s="1" t="n">
        <v>44908</v>
      </c>
      <c r="E660" s="1" t="n">
        <v>46217</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19942-2022</t>
        </is>
      </c>
      <c r="B661" t="inlineStr">
        <is>
          <t>avverkningsanmälan</t>
        </is>
      </c>
      <c r="C661" t="inlineStr">
        <is>
          <t>Föryngringsavverkning</t>
        </is>
      </c>
      <c r="D661" s="1" t="n">
        <v>44697</v>
      </c>
      <c r="E661" s="1" t="n">
        <v>46217</v>
      </c>
      <c r="F661" t="inlineStr">
        <is>
          <t>KRONOBERGS LÄN</t>
        </is>
      </c>
      <c r="G661" t="inlineStr">
        <is>
          <t>UPPVIDINGE</t>
        </is>
      </c>
      <c r="H661" t="inlineStr">
        <is>
          <t>Kyrkan</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22178-2023</t>
        </is>
      </c>
      <c r="B662" t="inlineStr">
        <is>
          <t>avverkningsanmälan</t>
        </is>
      </c>
      <c r="C662" t="inlineStr">
        <is>
          <t>Föryngringsavverkning</t>
        </is>
      </c>
      <c r="D662" s="1" t="n">
        <v>45069</v>
      </c>
      <c r="E662" s="1" t="n">
        <v>46217</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1423-2025</t>
        </is>
      </c>
      <c r="B663" t="inlineStr">
        <is>
          <t>avverkningsanmälan</t>
        </is>
      </c>
      <c r="C663" t="inlineStr">
        <is>
          <t>Föryngringsavverkning</t>
        </is>
      </c>
      <c r="D663" s="1" t="n">
        <v>45668</v>
      </c>
      <c r="E663" s="1" t="n">
        <v>46217</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60670-2023</t>
        </is>
      </c>
      <c r="B664" t="inlineStr">
        <is>
          <t>avverkningsanmälan</t>
        </is>
      </c>
      <c r="C664" t="inlineStr">
        <is>
          <t>Föryngringsavverkning</t>
        </is>
      </c>
      <c r="D664" s="1" t="n">
        <v>45260</v>
      </c>
      <c r="E664" s="1" t="n">
        <v>46217</v>
      </c>
      <c r="F664" t="inlineStr">
        <is>
          <t>KRONOBERGS LÄN</t>
        </is>
      </c>
      <c r="G664" t="inlineStr">
        <is>
          <t>UPPVIDINGE</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50115-2022</t>
        </is>
      </c>
      <c r="B665" t="inlineStr">
        <is>
          <t>avverkningsanmälan</t>
        </is>
      </c>
      <c r="C665" t="inlineStr">
        <is>
          <t>Föryngringsavverkning</t>
        </is>
      </c>
      <c r="D665" s="1" t="n">
        <v>44865</v>
      </c>
      <c r="E665" s="1" t="n">
        <v>46217</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37377-2023</t>
        </is>
      </c>
      <c r="B666" t="inlineStr">
        <is>
          <t>avverkningsanmälan</t>
        </is>
      </c>
      <c r="C666" t="inlineStr">
        <is>
          <t>Föryngringsavverkning</t>
        </is>
      </c>
      <c r="D666" s="1" t="n">
        <v>45156</v>
      </c>
      <c r="E666" s="1" t="n">
        <v>46217</v>
      </c>
      <c r="F666" t="inlineStr">
        <is>
          <t>KRONOBERGS LÄN</t>
        </is>
      </c>
      <c r="G666" t="inlineStr">
        <is>
          <t>UPPVIDINGE</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10713-2024</t>
        </is>
      </c>
      <c r="B667" t="inlineStr">
        <is>
          <t>avverkningsanmälan</t>
        </is>
      </c>
      <c r="C667" t="inlineStr">
        <is>
          <t>Föryngringsavverkning</t>
        </is>
      </c>
      <c r="D667" s="1" t="n">
        <v>45369</v>
      </c>
      <c r="E667" s="1" t="n">
        <v>46217</v>
      </c>
      <c r="F667" t="inlineStr">
        <is>
          <t>KRONOBERGS LÄN</t>
        </is>
      </c>
      <c r="G667" t="inlineStr">
        <is>
          <t>UPPVIDINGE</t>
        </is>
      </c>
      <c r="I667" t="n">
        <v>5.5</v>
      </c>
      <c r="J667" t="n">
        <v>0</v>
      </c>
      <c r="K667" t="n">
        <v>0</v>
      </c>
      <c r="L667" t="n">
        <v>0</v>
      </c>
      <c r="M667" t="n">
        <v>0</v>
      </c>
      <c r="N667" t="n">
        <v>0</v>
      </c>
      <c r="O667" t="n">
        <v>0</v>
      </c>
      <c r="P667" t="n">
        <v>0</v>
      </c>
      <c r="Q667" t="n">
        <v>0</v>
      </c>
      <c r="R667" t="n">
        <v>0</v>
      </c>
      <c r="S667" t="n">
        <v>0</v>
      </c>
      <c r="T667" t="n">
        <v>0</v>
      </c>
      <c r="U667" s="2" t="inlineStr"/>
    </row>
    <row r="668" ht="15" customHeight="1">
      <c r="A668" t="inlineStr">
        <is>
          <t>A 20131-2024</t>
        </is>
      </c>
      <c r="B668" t="inlineStr">
        <is>
          <t>avverkningsanmälan</t>
        </is>
      </c>
      <c r="C668" t="inlineStr">
        <is>
          <t>Föryngringsavverkning</t>
        </is>
      </c>
      <c r="D668" s="1" t="n">
        <v>45434</v>
      </c>
      <c r="E668" s="1" t="n">
        <v>46217</v>
      </c>
      <c r="F668" t="inlineStr">
        <is>
          <t>KRONOBERGS LÄN</t>
        </is>
      </c>
      <c r="G668" t="inlineStr">
        <is>
          <t>UPPVIDINGE</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11807-2024</t>
        </is>
      </c>
      <c r="B669" t="inlineStr">
        <is>
          <t>avverkningsanmälan</t>
        </is>
      </c>
      <c r="C669" t="inlineStr">
        <is>
          <t>Föryngringsavverkning</t>
        </is>
      </c>
      <c r="D669" s="1" t="n">
        <v>45375</v>
      </c>
      <c r="E669" s="1" t="n">
        <v>46217</v>
      </c>
      <c r="F669" t="inlineStr">
        <is>
          <t>KRONOBERGS LÄN</t>
        </is>
      </c>
      <c r="G669" t="inlineStr">
        <is>
          <t>UPPVIDINGE</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19070-2024</t>
        </is>
      </c>
      <c r="B670" t="inlineStr">
        <is>
          <t>avverkningsanmälan</t>
        </is>
      </c>
      <c r="C670" t="inlineStr">
        <is>
          <t>Föryngringsavverkning</t>
        </is>
      </c>
      <c r="D670" s="1" t="n">
        <v>45427</v>
      </c>
      <c r="E670" s="1" t="n">
        <v>46217</v>
      </c>
      <c r="F670" t="inlineStr">
        <is>
          <t>KRONOBERGS LÄN</t>
        </is>
      </c>
      <c r="G670" t="inlineStr">
        <is>
          <t>UPPVIDINGE</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52449-2023</t>
        </is>
      </c>
      <c r="B671" t="inlineStr">
        <is>
          <t>avverkningsanmälan</t>
        </is>
      </c>
      <c r="C671" t="inlineStr">
        <is>
          <t>Föryngringsavverkning</t>
        </is>
      </c>
      <c r="D671" s="1" t="n">
        <v>45225</v>
      </c>
      <c r="E671" s="1" t="n">
        <v>46217</v>
      </c>
      <c r="F671" t="inlineStr">
        <is>
          <t>KRONOBERGS LÄN</t>
        </is>
      </c>
      <c r="G671" t="inlineStr">
        <is>
          <t>UPPVIDINGE</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7897-2024</t>
        </is>
      </c>
      <c r="B672" t="inlineStr">
        <is>
          <t>avverkningsanmälan</t>
        </is>
      </c>
      <c r="C672" t="inlineStr">
        <is>
          <t>Föryngringsavverkning</t>
        </is>
      </c>
      <c r="D672" s="1" t="n">
        <v>45350</v>
      </c>
      <c r="E672" s="1" t="n">
        <v>46217</v>
      </c>
      <c r="F672" t="inlineStr">
        <is>
          <t>KRONOBERGS LÄN</t>
        </is>
      </c>
      <c r="G672" t="inlineStr">
        <is>
          <t>UPPVIDINGE</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12183-2023</t>
        </is>
      </c>
      <c r="B673" t="inlineStr">
        <is>
          <t>avverkningsanmälan</t>
        </is>
      </c>
      <c r="C673" t="inlineStr">
        <is>
          <t>Föryngringsavverkning</t>
        </is>
      </c>
      <c r="D673" s="1" t="n">
        <v>44998</v>
      </c>
      <c r="E673" s="1" t="n">
        <v>46217</v>
      </c>
      <c r="F673" t="inlineStr">
        <is>
          <t>KRONOBERGS LÄN</t>
        </is>
      </c>
      <c r="G673" t="inlineStr">
        <is>
          <t>UPPVIDINGE</t>
        </is>
      </c>
      <c r="I673" t="n">
        <v>2.3</v>
      </c>
      <c r="J673" t="n">
        <v>0</v>
      </c>
      <c r="K673" t="n">
        <v>0</v>
      </c>
      <c r="L673" t="n">
        <v>0</v>
      </c>
      <c r="M673" t="n">
        <v>0</v>
      </c>
      <c r="N673" t="n">
        <v>0</v>
      </c>
      <c r="O673" t="n">
        <v>0</v>
      </c>
      <c r="P673" t="n">
        <v>0</v>
      </c>
      <c r="Q673" t="n">
        <v>0</v>
      </c>
      <c r="R673" t="n">
        <v>0</v>
      </c>
      <c r="S673" t="n">
        <v>0</v>
      </c>
      <c r="T673" t="n">
        <v>0</v>
      </c>
      <c r="U673" s="2" t="inlineStr"/>
      <c r="X673">
        <f>HYPERLINK("https://klasma.github.io/Logging_0760/knärot/A 12183-2023 karta knärot.png", "A 12183-2023")</f>
        <v/>
      </c>
      <c r="Y673">
        <f>HYPERLINK("https://klasma.github.io/Logging_0760/klagomål/A 12183-2023 FSC-klagomål.docx", "A 12183-2023")</f>
        <v/>
      </c>
      <c r="Z673">
        <f>HYPERLINK("https://klasma.github.io/Logging_0760/klagomålsmail/A 12183-2023 FSC-klagomål mail.docx", "A 12183-2023")</f>
        <v/>
      </c>
      <c r="AA673">
        <f>HYPERLINK("https://klasma.github.io/Logging_0760/tillsyn/A 12183-2023 tillsynsbegäran.docx", "A 12183-2023")</f>
        <v/>
      </c>
      <c r="AB673">
        <f>HYPERLINK("https://klasma.github.io/Logging_0760/tillsynsmail/A 12183-2023 tillsynsbegäran mail.docx", "A 12183-2023")</f>
        <v/>
      </c>
    </row>
    <row r="674" ht="15" customHeight="1">
      <c r="A674" t="inlineStr">
        <is>
          <t>A 19236-2024</t>
        </is>
      </c>
      <c r="B674" t="inlineStr">
        <is>
          <t>avverkningsanmälan</t>
        </is>
      </c>
      <c r="C674" t="inlineStr">
        <is>
          <t>Föryngringsavverkning</t>
        </is>
      </c>
      <c r="D674" s="1" t="n">
        <v>45428</v>
      </c>
      <c r="E674" s="1" t="n">
        <v>46217</v>
      </c>
      <c r="F674" t="inlineStr">
        <is>
          <t>KRONOBERGS LÄN</t>
        </is>
      </c>
      <c r="G674" t="inlineStr">
        <is>
          <t>UPPVIDINGE</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23712-2024</t>
        </is>
      </c>
      <c r="B675" t="inlineStr">
        <is>
          <t>avverkningsanmälan</t>
        </is>
      </c>
      <c r="C675" t="inlineStr">
        <is>
          <t>Föryngringsavverkning</t>
        </is>
      </c>
      <c r="D675" s="1" t="n">
        <v>45454</v>
      </c>
      <c r="E675" s="1" t="n">
        <v>46217</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31766-2023</t>
        </is>
      </c>
      <c r="B676" t="inlineStr">
        <is>
          <t>avverkningsanmälan</t>
        </is>
      </c>
      <c r="C676" t="inlineStr">
        <is>
          <t>Föryngringsavverkning</t>
        </is>
      </c>
      <c r="D676" s="1" t="n">
        <v>45118</v>
      </c>
      <c r="E676" s="1" t="n">
        <v>46217</v>
      </c>
      <c r="F676" t="inlineStr">
        <is>
          <t>KRONOBERGS LÄN</t>
        </is>
      </c>
      <c r="G676" t="inlineStr">
        <is>
          <t>UPPVIDINGE</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5024-2022</t>
        </is>
      </c>
      <c r="B677" t="inlineStr">
        <is>
          <t>avverkningsanmälan</t>
        </is>
      </c>
      <c r="C677" t="inlineStr">
        <is>
          <t>Föryngringsavverkning</t>
        </is>
      </c>
      <c r="D677" s="1" t="n">
        <v>44593</v>
      </c>
      <c r="E677" s="1" t="n">
        <v>46217</v>
      </c>
      <c r="F677" t="inlineStr">
        <is>
          <t>KRONOBERGS LÄN</t>
        </is>
      </c>
      <c r="G677" t="inlineStr">
        <is>
          <t>UPPVIDINGE</t>
        </is>
      </c>
      <c r="I677" t="n">
        <v>4.5</v>
      </c>
      <c r="J677" t="n">
        <v>0</v>
      </c>
      <c r="K677" t="n">
        <v>0</v>
      </c>
      <c r="L677" t="n">
        <v>0</v>
      </c>
      <c r="M677" t="n">
        <v>0</v>
      </c>
      <c r="N677" t="n">
        <v>0</v>
      </c>
      <c r="O677" t="n">
        <v>0</v>
      </c>
      <c r="P677" t="n">
        <v>0</v>
      </c>
      <c r="Q677" t="n">
        <v>0</v>
      </c>
      <c r="R677" t="n">
        <v>0</v>
      </c>
      <c r="S677" t="n">
        <v>0</v>
      </c>
      <c r="T677" t="n">
        <v>0</v>
      </c>
      <c r="U677" s="2" t="inlineStr"/>
    </row>
    <row r="678" ht="15" customHeight="1">
      <c r="A678" t="inlineStr">
        <is>
          <t>A 29160-2023</t>
        </is>
      </c>
      <c r="B678" t="inlineStr">
        <is>
          <t>avverkningsanmälan</t>
        </is>
      </c>
      <c r="C678" t="inlineStr">
        <is>
          <t>Föryngringsavverkning</t>
        </is>
      </c>
      <c r="D678" s="1" t="n">
        <v>45105</v>
      </c>
      <c r="E678" s="1" t="n">
        <v>46217</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39094-2023</t>
        </is>
      </c>
      <c r="B679" t="inlineStr">
        <is>
          <t>avverkningsanmälan</t>
        </is>
      </c>
      <c r="C679" t="inlineStr">
        <is>
          <t>Föryngringsavverkning</t>
        </is>
      </c>
      <c r="D679" s="1" t="n">
        <v>45164</v>
      </c>
      <c r="E679" s="1" t="n">
        <v>46217</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54068-2024</t>
        </is>
      </c>
      <c r="B680" t="inlineStr">
        <is>
          <t>avverkningsanmälan</t>
        </is>
      </c>
      <c r="C680" t="inlineStr">
        <is>
          <t>Föryngringsavverkning</t>
        </is>
      </c>
      <c r="D680" s="1" t="n">
        <v>45615</v>
      </c>
      <c r="E680" s="1" t="n">
        <v>46217</v>
      </c>
      <c r="F680" t="inlineStr">
        <is>
          <t>KRONOBERGS LÄN</t>
        </is>
      </c>
      <c r="G680" t="inlineStr">
        <is>
          <t>UPPVIDINGE</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57000-2023</t>
        </is>
      </c>
      <c r="B681" t="inlineStr">
        <is>
          <t>avverkningsanmälan</t>
        </is>
      </c>
      <c r="C681" t="inlineStr">
        <is>
          <t>Föryngringsavverkning</t>
        </is>
      </c>
      <c r="D681" s="1" t="n">
        <v>45244</v>
      </c>
      <c r="E681" s="1" t="n">
        <v>46217</v>
      </c>
      <c r="F681" t="inlineStr">
        <is>
          <t>KRONOBERGS LÄN</t>
        </is>
      </c>
      <c r="G681" t="inlineStr">
        <is>
          <t>UPPVIDINGE</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16259-2025</t>
        </is>
      </c>
      <c r="B682" t="inlineStr">
        <is>
          <t>avverkningsanmälan</t>
        </is>
      </c>
      <c r="C682" t="inlineStr">
        <is>
          <t>Föryngringsavverkning</t>
        </is>
      </c>
      <c r="D682" s="1" t="n">
        <v>45749</v>
      </c>
      <c r="E682" s="1" t="n">
        <v>46217</v>
      </c>
      <c r="F682" t="inlineStr">
        <is>
          <t>KRONOBERGS LÄN</t>
        </is>
      </c>
      <c r="G682" t="inlineStr">
        <is>
          <t>UPPVIDINGE</t>
        </is>
      </c>
      <c r="H682" t="inlineStr">
        <is>
          <t>Kyrkan</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19056-2025</t>
        </is>
      </c>
      <c r="B683" t="inlineStr">
        <is>
          <t>avverkningsanmälan</t>
        </is>
      </c>
      <c r="C683" t="inlineStr">
        <is>
          <t>Föryngringsavverkning</t>
        </is>
      </c>
      <c r="D683" s="1" t="n">
        <v>45764</v>
      </c>
      <c r="E683" s="1" t="n">
        <v>46217</v>
      </c>
      <c r="F683" t="inlineStr">
        <is>
          <t>KRONOBERGS LÄN</t>
        </is>
      </c>
      <c r="G683" t="inlineStr">
        <is>
          <t>UPPVIDINGE</t>
        </is>
      </c>
      <c r="H683" t="inlineStr">
        <is>
          <t>Sveaskog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24491-2024</t>
        </is>
      </c>
      <c r="B684" t="inlineStr">
        <is>
          <t>avverkningsanmälan</t>
        </is>
      </c>
      <c r="C684" t="inlineStr">
        <is>
          <t>Föryngringsavverkning</t>
        </is>
      </c>
      <c r="D684" s="1" t="n">
        <v>45459</v>
      </c>
      <c r="E684" s="1" t="n">
        <v>46217</v>
      </c>
      <c r="F684" t="inlineStr">
        <is>
          <t>KRONOBERGS LÄN</t>
        </is>
      </c>
      <c r="G684" t="inlineStr">
        <is>
          <t>UPPVIDINGE</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13409-2023</t>
        </is>
      </c>
      <c r="B685" t="inlineStr">
        <is>
          <t>avverkningsanmälan</t>
        </is>
      </c>
      <c r="C685" t="inlineStr">
        <is>
          <t>Föryngringsavverkning</t>
        </is>
      </c>
      <c r="D685" s="1" t="n">
        <v>45005</v>
      </c>
      <c r="E685" s="1" t="n">
        <v>46217</v>
      </c>
      <c r="F685" t="inlineStr">
        <is>
          <t>KRONOBERGS LÄN</t>
        </is>
      </c>
      <c r="G685" t="inlineStr">
        <is>
          <t>UPPVIDINGE</t>
        </is>
      </c>
      <c r="I685" t="n">
        <v>1.4</v>
      </c>
      <c r="J685" t="n">
        <v>0</v>
      </c>
      <c r="K685" t="n">
        <v>0</v>
      </c>
      <c r="L685" t="n">
        <v>0</v>
      </c>
      <c r="M685" t="n">
        <v>0</v>
      </c>
      <c r="N685" t="n">
        <v>0</v>
      </c>
      <c r="O685" t="n">
        <v>0</v>
      </c>
      <c r="P685" t="n">
        <v>0</v>
      </c>
      <c r="Q685" t="n">
        <v>0</v>
      </c>
      <c r="R685" t="n">
        <v>0</v>
      </c>
      <c r="S685" t="n">
        <v>0</v>
      </c>
      <c r="T685" t="n">
        <v>0</v>
      </c>
      <c r="U685" s="2" t="inlineStr"/>
    </row>
    <row r="686" ht="15" customHeight="1">
      <c r="A686" t="inlineStr">
        <is>
          <t>A 27843-2023</t>
        </is>
      </c>
      <c r="B686" t="inlineStr">
        <is>
          <t>avverkningsanmälan</t>
        </is>
      </c>
      <c r="C686" t="inlineStr">
        <is>
          <t>Föryngringsavverkning</t>
        </is>
      </c>
      <c r="D686" s="1" t="n">
        <v>45098</v>
      </c>
      <c r="E686" s="1" t="n">
        <v>46217</v>
      </c>
      <c r="F686" t="inlineStr">
        <is>
          <t>KRONOBERGS LÄN</t>
        </is>
      </c>
      <c r="G686" t="inlineStr">
        <is>
          <t>UPPVIDINGE</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48438-2024</t>
        </is>
      </c>
      <c r="B687" t="inlineStr">
        <is>
          <t>avverkningsanmälan</t>
        </is>
      </c>
      <c r="C687" t="inlineStr">
        <is>
          <t>Föryngringsavverkning</t>
        </is>
      </c>
      <c r="D687" s="1" t="n">
        <v>45590</v>
      </c>
      <c r="E687" s="1" t="n">
        <v>46217</v>
      </c>
      <c r="F687" t="inlineStr">
        <is>
          <t>KRONOBERGS LÄN</t>
        </is>
      </c>
      <c r="G687" t="inlineStr">
        <is>
          <t>UPPVIDINGE</t>
        </is>
      </c>
      <c r="I687" t="n">
        <v>3.5</v>
      </c>
      <c r="J687" t="n">
        <v>0</v>
      </c>
      <c r="K687" t="n">
        <v>0</v>
      </c>
      <c r="L687" t="n">
        <v>0</v>
      </c>
      <c r="M687" t="n">
        <v>0</v>
      </c>
      <c r="N687" t="n">
        <v>0</v>
      </c>
      <c r="O687" t="n">
        <v>0</v>
      </c>
      <c r="P687" t="n">
        <v>0</v>
      </c>
      <c r="Q687" t="n">
        <v>0</v>
      </c>
      <c r="R687" t="n">
        <v>0</v>
      </c>
      <c r="S687" t="n">
        <v>0</v>
      </c>
      <c r="T687" t="n">
        <v>0</v>
      </c>
      <c r="U687" s="2" t="inlineStr"/>
    </row>
    <row r="688" ht="15" customHeight="1">
      <c r="A688" t="inlineStr">
        <is>
          <t>A 51515-2024</t>
        </is>
      </c>
      <c r="B688" t="inlineStr">
        <is>
          <t>avverkningsanmälan</t>
        </is>
      </c>
      <c r="C688" t="inlineStr">
        <is>
          <t>Föryngringsavverkning</t>
        </is>
      </c>
      <c r="D688" s="1" t="n">
        <v>45604</v>
      </c>
      <c r="E688" s="1" t="n">
        <v>46217</v>
      </c>
      <c r="F688" t="inlineStr">
        <is>
          <t>KRONOBERGS LÄN</t>
        </is>
      </c>
      <c r="G688" t="inlineStr">
        <is>
          <t>UPPVIDINGE</t>
        </is>
      </c>
      <c r="H688" t="inlineStr">
        <is>
          <t>Sveaskog</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51516-2024</t>
        </is>
      </c>
      <c r="B689" t="inlineStr">
        <is>
          <t>avverkningsanmälan</t>
        </is>
      </c>
      <c r="C689" t="inlineStr">
        <is>
          <t>Föryngringsavverkning</t>
        </is>
      </c>
      <c r="D689" s="1" t="n">
        <v>45604</v>
      </c>
      <c r="E689" s="1" t="n">
        <v>46217</v>
      </c>
      <c r="F689" t="inlineStr">
        <is>
          <t>KRONOBERGS LÄN</t>
        </is>
      </c>
      <c r="G689" t="inlineStr">
        <is>
          <t>UPPVIDINGE</t>
        </is>
      </c>
      <c r="H689" t="inlineStr">
        <is>
          <t>Sveaskog</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51518-2024</t>
        </is>
      </c>
      <c r="B690" t="inlineStr">
        <is>
          <t>avverkningsanmälan</t>
        </is>
      </c>
      <c r="C690" t="inlineStr">
        <is>
          <t>Föryngringsavverkning</t>
        </is>
      </c>
      <c r="D690" s="1" t="n">
        <v>45604</v>
      </c>
      <c r="E690" s="1" t="n">
        <v>46217</v>
      </c>
      <c r="F690" t="inlineStr">
        <is>
          <t>KRONOBERGS LÄN</t>
        </is>
      </c>
      <c r="G690" t="inlineStr">
        <is>
          <t>UPPVIDINGE</t>
        </is>
      </c>
      <c r="H690" t="inlineStr">
        <is>
          <t>Sveaskog</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44797-2023</t>
        </is>
      </c>
      <c r="B691" t="inlineStr">
        <is>
          <t>avverkningsanmälan</t>
        </is>
      </c>
      <c r="C691" t="inlineStr">
        <is>
          <t>Föryngringsavverkning</t>
        </is>
      </c>
      <c r="D691" s="1" t="n">
        <v>45190</v>
      </c>
      <c r="E691" s="1" t="n">
        <v>46217</v>
      </c>
      <c r="F691" t="inlineStr">
        <is>
          <t>KRONOBERGS LÄN</t>
        </is>
      </c>
      <c r="G691" t="inlineStr">
        <is>
          <t>UPPVIDINGE</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8163-2025</t>
        </is>
      </c>
      <c r="B692" t="inlineStr">
        <is>
          <t>avverkningsanmälan</t>
        </is>
      </c>
      <c r="C692" t="inlineStr">
        <is>
          <t>Föryngringsavverkning</t>
        </is>
      </c>
      <c r="D692" s="1" t="n">
        <v>45708</v>
      </c>
      <c r="E692" s="1" t="n">
        <v>46217</v>
      </c>
      <c r="F692" t="inlineStr">
        <is>
          <t>KRONOBERGS LÄN</t>
        </is>
      </c>
      <c r="G692" t="inlineStr">
        <is>
          <t>UPPVIDINGE</t>
        </is>
      </c>
      <c r="I692" t="n">
        <v>3.3</v>
      </c>
      <c r="J692" t="n">
        <v>0</v>
      </c>
      <c r="K692" t="n">
        <v>0</v>
      </c>
      <c r="L692" t="n">
        <v>0</v>
      </c>
      <c r="M692" t="n">
        <v>0</v>
      </c>
      <c r="N692" t="n">
        <v>0</v>
      </c>
      <c r="O692" t="n">
        <v>0</v>
      </c>
      <c r="P692" t="n">
        <v>0</v>
      </c>
      <c r="Q692" t="n">
        <v>0</v>
      </c>
      <c r="R692" t="n">
        <v>0</v>
      </c>
      <c r="S692" t="n">
        <v>0</v>
      </c>
      <c r="T692" t="n">
        <v>0</v>
      </c>
      <c r="U692" s="2" t="inlineStr"/>
    </row>
    <row r="693" ht="15" customHeight="1">
      <c r="A693" t="inlineStr">
        <is>
          <t>A 5274-2025</t>
        </is>
      </c>
      <c r="B693" t="inlineStr">
        <is>
          <t>avverkningsanmälan</t>
        </is>
      </c>
      <c r="C693" t="inlineStr">
        <is>
          <t>Föryngringsavverkning</t>
        </is>
      </c>
      <c r="D693" s="1" t="n">
        <v>45692</v>
      </c>
      <c r="E693" s="1" t="n">
        <v>46217</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s="2" t="inlineStr"/>
    </row>
    <row r="694" ht="15" customHeight="1">
      <c r="A694" t="inlineStr">
        <is>
          <t>A 48024-2023</t>
        </is>
      </c>
      <c r="B694" t="inlineStr">
        <is>
          <t>avverkningsanmälan</t>
        </is>
      </c>
      <c r="C694" t="inlineStr">
        <is>
          <t>Föryngringsavverkning</t>
        </is>
      </c>
      <c r="D694" s="1" t="n">
        <v>45204</v>
      </c>
      <c r="E694" s="1" t="n">
        <v>46217</v>
      </c>
      <c r="F694" t="inlineStr">
        <is>
          <t>KRONOBERGS LÄN</t>
        </is>
      </c>
      <c r="G694" t="inlineStr">
        <is>
          <t>UPPVIDINGE</t>
        </is>
      </c>
      <c r="I694" t="n">
        <v>3.7</v>
      </c>
      <c r="J694" t="n">
        <v>0</v>
      </c>
      <c r="K694" t="n">
        <v>0</v>
      </c>
      <c r="L694" t="n">
        <v>0</v>
      </c>
      <c r="M694" t="n">
        <v>0</v>
      </c>
      <c r="N694" t="n">
        <v>0</v>
      </c>
      <c r="O694" t="n">
        <v>0</v>
      </c>
      <c r="P694" t="n">
        <v>0</v>
      </c>
      <c r="Q694" t="n">
        <v>0</v>
      </c>
      <c r="R694" t="n">
        <v>0</v>
      </c>
      <c r="S694" t="n">
        <v>0</v>
      </c>
      <c r="T694" t="n">
        <v>0</v>
      </c>
      <c r="U694" s="2" t="inlineStr"/>
    </row>
    <row r="695" ht="15" customHeight="1">
      <c r="A695" t="inlineStr">
        <is>
          <t>A 53260-2023</t>
        </is>
      </c>
      <c r="B695" t="inlineStr">
        <is>
          <t>avverkningsanmälan</t>
        </is>
      </c>
      <c r="C695" t="inlineStr">
        <is>
          <t>Föryngringsavverkning</t>
        </is>
      </c>
      <c r="D695" s="1" t="n">
        <v>45229</v>
      </c>
      <c r="E695" s="1" t="n">
        <v>46217</v>
      </c>
      <c r="F695" t="inlineStr">
        <is>
          <t>KRONOBERGS LÄN</t>
        </is>
      </c>
      <c r="G695" t="inlineStr">
        <is>
          <t>UPPVIDINGE</t>
        </is>
      </c>
      <c r="I695" t="n">
        <v>2.2</v>
      </c>
      <c r="J695" t="n">
        <v>0</v>
      </c>
      <c r="K695" t="n">
        <v>0</v>
      </c>
      <c r="L695" t="n">
        <v>0</v>
      </c>
      <c r="M695" t="n">
        <v>0</v>
      </c>
      <c r="N695" t="n">
        <v>0</v>
      </c>
      <c r="O695" t="n">
        <v>0</v>
      </c>
      <c r="P695" t="n">
        <v>0</v>
      </c>
      <c r="Q695" t="n">
        <v>0</v>
      </c>
      <c r="R695" t="n">
        <v>0</v>
      </c>
      <c r="S695" t="n">
        <v>0</v>
      </c>
      <c r="T695" t="n">
        <v>0</v>
      </c>
      <c r="U695" s="2" t="inlineStr"/>
    </row>
    <row r="696" ht="15" customHeight="1">
      <c r="A696" t="inlineStr">
        <is>
          <t>A 26204-2023</t>
        </is>
      </c>
      <c r="B696" t="inlineStr">
        <is>
          <t>avverkningsanmälan</t>
        </is>
      </c>
      <c r="C696" t="inlineStr">
        <is>
          <t>Föryngringsavverkning</t>
        </is>
      </c>
      <c r="D696" s="1" t="n">
        <v>45091</v>
      </c>
      <c r="E696" s="1" t="n">
        <v>46217</v>
      </c>
      <c r="F696" t="inlineStr">
        <is>
          <t>KRONOBERGS LÄN</t>
        </is>
      </c>
      <c r="G696" t="inlineStr">
        <is>
          <t>UPPVIDINGE</t>
        </is>
      </c>
      <c r="H696" t="inlineStr">
        <is>
          <t>Sveaskog</t>
        </is>
      </c>
      <c r="I696" t="n">
        <v>6.8</v>
      </c>
      <c r="J696" t="n">
        <v>0</v>
      </c>
      <c r="K696" t="n">
        <v>0</v>
      </c>
      <c r="L696" t="n">
        <v>0</v>
      </c>
      <c r="M696" t="n">
        <v>0</v>
      </c>
      <c r="N696" t="n">
        <v>0</v>
      </c>
      <c r="O696" t="n">
        <v>0</v>
      </c>
      <c r="P696" t="n">
        <v>0</v>
      </c>
      <c r="Q696" t="n">
        <v>0</v>
      </c>
      <c r="R696" t="n">
        <v>0</v>
      </c>
      <c r="S696" t="n">
        <v>0</v>
      </c>
      <c r="T696" t="n">
        <v>0</v>
      </c>
      <c r="U696" s="2" t="inlineStr"/>
    </row>
    <row r="697" ht="15" customHeight="1">
      <c r="A697" t="inlineStr">
        <is>
          <t>A 24858-2023</t>
        </is>
      </c>
      <c r="B697" t="inlineStr">
        <is>
          <t>avverkningsanmälan</t>
        </is>
      </c>
      <c r="C697" t="inlineStr">
        <is>
          <t>Föryngringsavverkning</t>
        </is>
      </c>
      <c r="D697" s="1" t="n">
        <v>45085</v>
      </c>
      <c r="E697" s="1" t="n">
        <v>46217</v>
      </c>
      <c r="F697" t="inlineStr">
        <is>
          <t>KRONOBERGS LÄN</t>
        </is>
      </c>
      <c r="G697" t="inlineStr">
        <is>
          <t>UPPVIDINGE</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11644-2023</t>
        </is>
      </c>
      <c r="B698" t="inlineStr">
        <is>
          <t>avverkningsanmälan</t>
        </is>
      </c>
      <c r="C698" t="inlineStr">
        <is>
          <t>Föryngringsavverkning</t>
        </is>
      </c>
      <c r="D698" s="1" t="n">
        <v>44994</v>
      </c>
      <c r="E698" s="1" t="n">
        <v>46217</v>
      </c>
      <c r="F698" t="inlineStr">
        <is>
          <t>KRONOBERGS LÄN</t>
        </is>
      </c>
      <c r="G698" t="inlineStr">
        <is>
          <t>UPPVIDINGE</t>
        </is>
      </c>
      <c r="I698" t="n">
        <v>2.6</v>
      </c>
      <c r="J698" t="n">
        <v>0</v>
      </c>
      <c r="K698" t="n">
        <v>0</v>
      </c>
      <c r="L698" t="n">
        <v>0</v>
      </c>
      <c r="M698" t="n">
        <v>0</v>
      </c>
      <c r="N698" t="n">
        <v>0</v>
      </c>
      <c r="O698" t="n">
        <v>0</v>
      </c>
      <c r="P698" t="n">
        <v>0</v>
      </c>
      <c r="Q698" t="n">
        <v>0</v>
      </c>
      <c r="R698" t="n">
        <v>0</v>
      </c>
      <c r="S698" t="n">
        <v>0</v>
      </c>
      <c r="T698" t="n">
        <v>0</v>
      </c>
      <c r="U698" s="2" t="inlineStr"/>
    </row>
    <row r="699" ht="15" customHeight="1">
      <c r="A699" t="inlineStr">
        <is>
          <t>A 8354-2022</t>
        </is>
      </c>
      <c r="B699" t="inlineStr">
        <is>
          <t>avverkningsanmälan</t>
        </is>
      </c>
      <c r="C699" t="inlineStr">
        <is>
          <t>Föryngringsavverkning</t>
        </is>
      </c>
      <c r="D699" s="1" t="n">
        <v>44610</v>
      </c>
      <c r="E699" s="1" t="n">
        <v>46217</v>
      </c>
      <c r="F699" t="inlineStr">
        <is>
          <t>KRONOBERGS LÄN</t>
        </is>
      </c>
      <c r="G699" t="inlineStr">
        <is>
          <t>UPPVIDINGE</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2268-2023</t>
        </is>
      </c>
      <c r="B700" t="inlineStr">
        <is>
          <t>avverkningsanmälan</t>
        </is>
      </c>
      <c r="C700" t="inlineStr">
        <is>
          <t>Föryngringsavverkning</t>
        </is>
      </c>
      <c r="D700" s="1" t="n">
        <v>44942</v>
      </c>
      <c r="E700" s="1" t="n">
        <v>46217</v>
      </c>
      <c r="F700" t="inlineStr">
        <is>
          <t>KRONOBERGS LÄN</t>
        </is>
      </c>
      <c r="G700" t="inlineStr">
        <is>
          <t>UPPVIDINGE</t>
        </is>
      </c>
      <c r="I700" t="n">
        <v>0</v>
      </c>
      <c r="J700" t="n">
        <v>0</v>
      </c>
      <c r="K700" t="n">
        <v>0</v>
      </c>
      <c r="L700" t="n">
        <v>0</v>
      </c>
      <c r="M700" t="n">
        <v>0</v>
      </c>
      <c r="N700" t="n">
        <v>0</v>
      </c>
      <c r="O700" t="n">
        <v>0</v>
      </c>
      <c r="P700" t="n">
        <v>0</v>
      </c>
      <c r="Q700" t="n">
        <v>0</v>
      </c>
      <c r="R700" t="n">
        <v>0</v>
      </c>
      <c r="S700" t="n">
        <v>0</v>
      </c>
      <c r="T700" t="n">
        <v>0</v>
      </c>
      <c r="U700" s="2" t="inlineStr"/>
    </row>
    <row r="701" ht="15" customHeight="1">
      <c r="A701" t="inlineStr">
        <is>
          <t>A 33591-2022</t>
        </is>
      </c>
      <c r="B701" t="inlineStr">
        <is>
          <t>avverkningsanmälan</t>
        </is>
      </c>
      <c r="C701" t="inlineStr">
        <is>
          <t>Föryngringsavverkning</t>
        </is>
      </c>
      <c r="D701" s="1" t="n">
        <v>44789</v>
      </c>
      <c r="E701" s="1" t="n">
        <v>46217</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24935-2023</t>
        </is>
      </c>
      <c r="B702" t="inlineStr">
        <is>
          <t>avverkningsanmälan</t>
        </is>
      </c>
      <c r="C702" t="inlineStr">
        <is>
          <t>Föryngringsavverkning</t>
        </is>
      </c>
      <c r="D702" s="1" t="n">
        <v>45085</v>
      </c>
      <c r="E702" s="1" t="n">
        <v>46217</v>
      </c>
      <c r="F702" t="inlineStr">
        <is>
          <t>KRONOBERGS LÄN</t>
        </is>
      </c>
      <c r="G702" t="inlineStr">
        <is>
          <t>UPPVIDINGE</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19072-2024</t>
        </is>
      </c>
      <c r="B703" t="inlineStr">
        <is>
          <t>avverkningsanmälan</t>
        </is>
      </c>
      <c r="C703" t="inlineStr">
        <is>
          <t>Föryngringsavverkning</t>
        </is>
      </c>
      <c r="D703" s="1" t="n">
        <v>45427</v>
      </c>
      <c r="E703" s="1" t="n">
        <v>46217</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6326-2024</t>
        </is>
      </c>
      <c r="B704" t="inlineStr">
        <is>
          <t>avverkningsanmälan</t>
        </is>
      </c>
      <c r="C704" t="inlineStr">
        <is>
          <t>Föryngringsavverkning</t>
        </is>
      </c>
      <c r="D704" s="1" t="n">
        <v>45338</v>
      </c>
      <c r="E704" s="1" t="n">
        <v>46217</v>
      </c>
      <c r="F704" t="inlineStr">
        <is>
          <t>KRONOBERGS LÄN</t>
        </is>
      </c>
      <c r="G704" t="inlineStr">
        <is>
          <t>UPPVIDINGE</t>
        </is>
      </c>
      <c r="H704" t="inlineStr">
        <is>
          <t>Sveaskog</t>
        </is>
      </c>
      <c r="I704" t="n">
        <v>0.2</v>
      </c>
      <c r="J704" t="n">
        <v>0</v>
      </c>
      <c r="K704" t="n">
        <v>0</v>
      </c>
      <c r="L704" t="n">
        <v>0</v>
      </c>
      <c r="M704" t="n">
        <v>0</v>
      </c>
      <c r="N704" t="n">
        <v>0</v>
      </c>
      <c r="O704" t="n">
        <v>0</v>
      </c>
      <c r="P704" t="n">
        <v>0</v>
      </c>
      <c r="Q704" t="n">
        <v>0</v>
      </c>
      <c r="R704" t="n">
        <v>0</v>
      </c>
      <c r="S704" t="n">
        <v>0</v>
      </c>
      <c r="T704" t="n">
        <v>0</v>
      </c>
      <c r="U704" s="2" t="inlineStr"/>
    </row>
    <row r="705" ht="15" customHeight="1">
      <c r="A705" t="inlineStr">
        <is>
          <t>A 6332-2024</t>
        </is>
      </c>
      <c r="B705" t="inlineStr">
        <is>
          <t>avverkningsanmälan</t>
        </is>
      </c>
      <c r="C705" t="inlineStr">
        <is>
          <t>Föryngringsavverkning</t>
        </is>
      </c>
      <c r="D705" s="1" t="n">
        <v>45338</v>
      </c>
      <c r="E705" s="1" t="n">
        <v>46217</v>
      </c>
      <c r="F705" t="inlineStr">
        <is>
          <t>KRONOBERGS LÄN</t>
        </is>
      </c>
      <c r="G705" t="inlineStr">
        <is>
          <t>UPPVIDINGE</t>
        </is>
      </c>
      <c r="H705" t="inlineStr">
        <is>
          <t>Sveaskog</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9687-2025</t>
        </is>
      </c>
      <c r="B706" t="inlineStr">
        <is>
          <t>avverkningsanmälan</t>
        </is>
      </c>
      <c r="C706" t="inlineStr">
        <is>
          <t>Föryngringsavverkning</t>
        </is>
      </c>
      <c r="D706" s="1" t="n">
        <v>45716</v>
      </c>
      <c r="E706" s="1" t="n">
        <v>46217</v>
      </c>
      <c r="F706" t="inlineStr">
        <is>
          <t>KRONOBERGS LÄN</t>
        </is>
      </c>
      <c r="G706" t="inlineStr">
        <is>
          <t>UPPVIDINGE</t>
        </is>
      </c>
      <c r="H706" t="inlineStr">
        <is>
          <t>Sveaskog</t>
        </is>
      </c>
      <c r="I706" t="n">
        <v>0.8</v>
      </c>
      <c r="J706" t="n">
        <v>0</v>
      </c>
      <c r="K706" t="n">
        <v>0</v>
      </c>
      <c r="L706" t="n">
        <v>0</v>
      </c>
      <c r="M706" t="n">
        <v>0</v>
      </c>
      <c r="N706" t="n">
        <v>0</v>
      </c>
      <c r="O706" t="n">
        <v>0</v>
      </c>
      <c r="P706" t="n">
        <v>0</v>
      </c>
      <c r="Q706" t="n">
        <v>0</v>
      </c>
      <c r="R706" t="n">
        <v>0</v>
      </c>
      <c r="S706" t="n">
        <v>0</v>
      </c>
      <c r="T706" t="n">
        <v>0</v>
      </c>
      <c r="U706" s="2" t="inlineStr"/>
    </row>
    <row r="707" ht="15" customHeight="1">
      <c r="A707" t="inlineStr">
        <is>
          <t>A 15406-2023</t>
        </is>
      </c>
      <c r="B707" t="inlineStr">
        <is>
          <t>avverkningsanmälan</t>
        </is>
      </c>
      <c r="C707" t="inlineStr">
        <is>
          <t>Föryngringsavverkning</t>
        </is>
      </c>
      <c r="D707" s="1" t="n">
        <v>45019</v>
      </c>
      <c r="E707" s="1" t="n">
        <v>46217</v>
      </c>
      <c r="F707" t="inlineStr">
        <is>
          <t>KRONOBERGS LÄN</t>
        </is>
      </c>
      <c r="G707" t="inlineStr">
        <is>
          <t>UPPVIDINGE</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60730-2024</t>
        </is>
      </c>
      <c r="B708" t="inlineStr">
        <is>
          <t>avverkningsanmälan</t>
        </is>
      </c>
      <c r="C708" t="inlineStr">
        <is>
          <t>Föryngringsavverkning</t>
        </is>
      </c>
      <c r="D708" s="1" t="n">
        <v>45642</v>
      </c>
      <c r="E708" s="1" t="n">
        <v>46217</v>
      </c>
      <c r="F708" t="inlineStr">
        <is>
          <t>KRONOBERGS LÄN</t>
        </is>
      </c>
      <c r="G708" t="inlineStr">
        <is>
          <t>UPPVIDINGE</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9165-2025</t>
        </is>
      </c>
      <c r="B709" t="inlineStr">
        <is>
          <t>avverkningsanmälan</t>
        </is>
      </c>
      <c r="C709" t="inlineStr">
        <is>
          <t>Föryngringsavverkning</t>
        </is>
      </c>
      <c r="D709" s="1" t="n">
        <v>45714</v>
      </c>
      <c r="E709" s="1" t="n">
        <v>46217</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45229-2024</t>
        </is>
      </c>
      <c r="B710" t="inlineStr">
        <is>
          <t>avverkningsanmälan</t>
        </is>
      </c>
      <c r="C710" t="inlineStr">
        <is>
          <t>Föryngringsavverkning</t>
        </is>
      </c>
      <c r="D710" s="1" t="n">
        <v>45575</v>
      </c>
      <c r="E710" s="1" t="n">
        <v>46217</v>
      </c>
      <c r="F710" t="inlineStr">
        <is>
          <t>KRONOBERGS LÄN</t>
        </is>
      </c>
      <c r="G710" t="inlineStr">
        <is>
          <t>UPPVIDINGE</t>
        </is>
      </c>
      <c r="I710" t="n">
        <v>4.3</v>
      </c>
      <c r="J710" t="n">
        <v>0</v>
      </c>
      <c r="K710" t="n">
        <v>0</v>
      </c>
      <c r="L710" t="n">
        <v>0</v>
      </c>
      <c r="M710" t="n">
        <v>0</v>
      </c>
      <c r="N710" t="n">
        <v>0</v>
      </c>
      <c r="O710" t="n">
        <v>0</v>
      </c>
      <c r="P710" t="n">
        <v>0</v>
      </c>
      <c r="Q710" t="n">
        <v>0</v>
      </c>
      <c r="R710" t="n">
        <v>0</v>
      </c>
      <c r="S710" t="n">
        <v>0</v>
      </c>
      <c r="T710" t="n">
        <v>0</v>
      </c>
      <c r="U710" s="2" t="inlineStr"/>
    </row>
    <row r="711" ht="15" customHeight="1">
      <c r="A711" t="inlineStr">
        <is>
          <t>A 20515-2023</t>
        </is>
      </c>
      <c r="B711" t="inlineStr">
        <is>
          <t>avverkningsanmälan</t>
        </is>
      </c>
      <c r="C711" t="inlineStr">
        <is>
          <t>Föryngringsavverkning</t>
        </is>
      </c>
      <c r="D711" s="1" t="n">
        <v>45057</v>
      </c>
      <c r="E711" s="1" t="n">
        <v>46217</v>
      </c>
      <c r="F711" t="inlineStr">
        <is>
          <t>KRONOBERGS LÄN</t>
        </is>
      </c>
      <c r="G711" t="inlineStr">
        <is>
          <t>UPPVIDINGE</t>
        </is>
      </c>
      <c r="I711" t="n">
        <v>2.8</v>
      </c>
      <c r="J711" t="n">
        <v>0</v>
      </c>
      <c r="K711" t="n">
        <v>0</v>
      </c>
      <c r="L711" t="n">
        <v>0</v>
      </c>
      <c r="M711" t="n">
        <v>0</v>
      </c>
      <c r="N711" t="n">
        <v>0</v>
      </c>
      <c r="O711" t="n">
        <v>0</v>
      </c>
      <c r="P711" t="n">
        <v>0</v>
      </c>
      <c r="Q711" t="n">
        <v>0</v>
      </c>
      <c r="R711" t="n">
        <v>0</v>
      </c>
      <c r="S711" t="n">
        <v>0</v>
      </c>
      <c r="T711" t="n">
        <v>0</v>
      </c>
      <c r="U711" s="2" t="inlineStr"/>
    </row>
    <row r="712" ht="15" customHeight="1">
      <c r="A712" t="inlineStr">
        <is>
          <t>A 36913-2023</t>
        </is>
      </c>
      <c r="B712" t="inlineStr">
        <is>
          <t>avverkningsanmälan</t>
        </is>
      </c>
      <c r="C712" t="inlineStr">
        <is>
          <t>Föryngringsavverkning</t>
        </is>
      </c>
      <c r="D712" s="1" t="n">
        <v>45154</v>
      </c>
      <c r="E712" s="1" t="n">
        <v>46217</v>
      </c>
      <c r="F712" t="inlineStr">
        <is>
          <t>KRONOBERGS LÄN</t>
        </is>
      </c>
      <c r="G712" t="inlineStr">
        <is>
          <t>UPPVIDINGE</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10930-2025</t>
        </is>
      </c>
      <c r="B713" t="inlineStr">
        <is>
          <t>avverkningsanmälan</t>
        </is>
      </c>
      <c r="C713" t="inlineStr">
        <is>
          <t>Föryngringsavverkning</t>
        </is>
      </c>
      <c r="D713" s="1" t="n">
        <v>45722</v>
      </c>
      <c r="E713" s="1" t="n">
        <v>46217</v>
      </c>
      <c r="F713" t="inlineStr">
        <is>
          <t>KRONOBERGS LÄN</t>
        </is>
      </c>
      <c r="G713" t="inlineStr">
        <is>
          <t>UPPVIDINGE</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20081-2024</t>
        </is>
      </c>
      <c r="B714" t="inlineStr">
        <is>
          <t>avverkningsanmälan</t>
        </is>
      </c>
      <c r="C714" t="inlineStr">
        <is>
          <t>Föryngringsavverkning</t>
        </is>
      </c>
      <c r="D714" s="1" t="n">
        <v>45434</v>
      </c>
      <c r="E714" s="1" t="n">
        <v>46217</v>
      </c>
      <c r="F714" t="inlineStr">
        <is>
          <t>KRONOBERGS LÄN</t>
        </is>
      </c>
      <c r="G714" t="inlineStr">
        <is>
          <t>UPPVIDINGE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53296-2023</t>
        </is>
      </c>
      <c r="B715" t="inlineStr">
        <is>
          <t>avverkningsanmälan</t>
        </is>
      </c>
      <c r="C715" t="inlineStr">
        <is>
          <t>Föryngringsavverkning</t>
        </is>
      </c>
      <c r="D715" s="1" t="n">
        <v>45229</v>
      </c>
      <c r="E715" s="1" t="n">
        <v>46217</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s="2" t="inlineStr"/>
    </row>
    <row r="716" ht="15" customHeight="1">
      <c r="A716" t="inlineStr">
        <is>
          <t>A 25929-2022</t>
        </is>
      </c>
      <c r="B716" t="inlineStr">
        <is>
          <t>avverkningsanmälan</t>
        </is>
      </c>
      <c r="C716" t="inlineStr">
        <is>
          <t>Föryngringsavverkning</t>
        </is>
      </c>
      <c r="D716" s="1" t="n">
        <v>44734</v>
      </c>
      <c r="E716" s="1" t="n">
        <v>46217</v>
      </c>
      <c r="F716" t="inlineStr">
        <is>
          <t>KRONOBERGS LÄN</t>
        </is>
      </c>
      <c r="G716" t="inlineStr">
        <is>
          <t>UPPVIDINGE</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25931-2022</t>
        </is>
      </c>
      <c r="B717" t="inlineStr">
        <is>
          <t>avverkningsanmälan</t>
        </is>
      </c>
      <c r="C717" t="inlineStr">
        <is>
          <t>Föryngringsavverkning</t>
        </is>
      </c>
      <c r="D717" s="1" t="n">
        <v>44734</v>
      </c>
      <c r="E717" s="1" t="n">
        <v>46217</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39133-2023</t>
        </is>
      </c>
      <c r="B718" t="inlineStr">
        <is>
          <t>avverkningsanmälan</t>
        </is>
      </c>
      <c r="C718" t="inlineStr">
        <is>
          <t>Föryngringsavverkning</t>
        </is>
      </c>
      <c r="D718" s="1" t="n">
        <v>45165</v>
      </c>
      <c r="E718" s="1" t="n">
        <v>46217</v>
      </c>
      <c r="F718" t="inlineStr">
        <is>
          <t>KRONOBERGS LÄN</t>
        </is>
      </c>
      <c r="G718" t="inlineStr">
        <is>
          <t>UPPVIDINGE</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57127-2023</t>
        </is>
      </c>
      <c r="B719" t="inlineStr">
        <is>
          <t>avverkningsanmälan</t>
        </is>
      </c>
      <c r="C719" t="inlineStr">
        <is>
          <t>Föryngringsavverkning</t>
        </is>
      </c>
      <c r="D719" s="1" t="n">
        <v>45245</v>
      </c>
      <c r="E719" s="1" t="n">
        <v>46217</v>
      </c>
      <c r="F719" t="inlineStr">
        <is>
          <t>KRONOBERGS LÄN</t>
        </is>
      </c>
      <c r="G719" t="inlineStr">
        <is>
          <t>UPPVIDINGE</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37682-2021</t>
        </is>
      </c>
      <c r="B720" t="inlineStr">
        <is>
          <t>avverkningsanmälan</t>
        </is>
      </c>
      <c r="C720" t="inlineStr">
        <is>
          <t>Föryngringsavverkning</t>
        </is>
      </c>
      <c r="D720" s="1" t="n">
        <v>44400</v>
      </c>
      <c r="E720" s="1" t="n">
        <v>46217</v>
      </c>
      <c r="F720" t="inlineStr">
        <is>
          <t>KRONOBERGS LÄN</t>
        </is>
      </c>
      <c r="G720" t="inlineStr">
        <is>
          <t>UPPVIDINGE</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8430-2025</t>
        </is>
      </c>
      <c r="B721" t="inlineStr">
        <is>
          <t>avverkningsanmälan</t>
        </is>
      </c>
      <c r="C721" t="inlineStr">
        <is>
          <t>Föryngringsavverkning</t>
        </is>
      </c>
      <c r="D721" s="1" t="n">
        <v>45709</v>
      </c>
      <c r="E721" s="1" t="n">
        <v>46217</v>
      </c>
      <c r="F721" t="inlineStr">
        <is>
          <t>KRONOBERGS LÄN</t>
        </is>
      </c>
      <c r="G721" t="inlineStr">
        <is>
          <t>UPPVIDINGE</t>
        </is>
      </c>
      <c r="H721" t="inlineStr">
        <is>
          <t>Sveaskog</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59803-2024</t>
        </is>
      </c>
      <c r="B722" t="inlineStr">
        <is>
          <t>avverkningsanmälan</t>
        </is>
      </c>
      <c r="C722" t="inlineStr">
        <is>
          <t>Föryngringsavverkning</t>
        </is>
      </c>
      <c r="D722" s="1" t="n">
        <v>45639</v>
      </c>
      <c r="E722" s="1" t="n">
        <v>46217</v>
      </c>
      <c r="F722" t="inlineStr">
        <is>
          <t>KRONOBERGS LÄN</t>
        </is>
      </c>
      <c r="G722" t="inlineStr">
        <is>
          <t>UPPVIDINGE</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19223-2024</t>
        </is>
      </c>
      <c r="B723" t="inlineStr">
        <is>
          <t>avverkningsanmälan</t>
        </is>
      </c>
      <c r="C723" t="inlineStr">
        <is>
          <t>Föryngringsavverkning</t>
        </is>
      </c>
      <c r="D723" s="1" t="n">
        <v>45428</v>
      </c>
      <c r="E723" s="1" t="n">
        <v>46217</v>
      </c>
      <c r="F723" t="inlineStr">
        <is>
          <t>KRONOBERGS LÄN</t>
        </is>
      </c>
      <c r="G723" t="inlineStr">
        <is>
          <t>UPPVIDINGE</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12688-2024</t>
        </is>
      </c>
      <c r="B724" t="inlineStr">
        <is>
          <t>avverkningsanmälan</t>
        </is>
      </c>
      <c r="C724" t="inlineStr">
        <is>
          <t>Föryngringsavverkning</t>
        </is>
      </c>
      <c r="D724" s="1" t="n">
        <v>45384</v>
      </c>
      <c r="E724" s="1" t="n">
        <v>46217</v>
      </c>
      <c r="F724" t="inlineStr">
        <is>
          <t>KRONOBERGS LÄN</t>
        </is>
      </c>
      <c r="G724" t="inlineStr">
        <is>
          <t>UPPVIDINGE</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13875-2024</t>
        </is>
      </c>
      <c r="B725" t="inlineStr">
        <is>
          <t>avverkningsanmälan</t>
        </is>
      </c>
      <c r="C725" t="inlineStr">
        <is>
          <t>Föryngringsavverkning</t>
        </is>
      </c>
      <c r="D725" s="1" t="n">
        <v>45391</v>
      </c>
      <c r="E725" s="1" t="n">
        <v>46217</v>
      </c>
      <c r="F725" t="inlineStr">
        <is>
          <t>KRONOBERGS LÄN</t>
        </is>
      </c>
      <c r="G725" t="inlineStr">
        <is>
          <t>UPPVIDINGE</t>
        </is>
      </c>
      <c r="I725" t="n">
        <v>2.4</v>
      </c>
      <c r="J725" t="n">
        <v>0</v>
      </c>
      <c r="K725" t="n">
        <v>0</v>
      </c>
      <c r="L725" t="n">
        <v>0</v>
      </c>
      <c r="M725" t="n">
        <v>0</v>
      </c>
      <c r="N725" t="n">
        <v>0</v>
      </c>
      <c r="O725" t="n">
        <v>0</v>
      </c>
      <c r="P725" t="n">
        <v>0</v>
      </c>
      <c r="Q725" t="n">
        <v>0</v>
      </c>
      <c r="R725" t="n">
        <v>0</v>
      </c>
      <c r="S725" t="n">
        <v>0</v>
      </c>
      <c r="T725" t="n">
        <v>0</v>
      </c>
      <c r="U725" s="2" t="inlineStr"/>
    </row>
    <row r="726" ht="15" customHeight="1">
      <c r="A726" t="inlineStr">
        <is>
          <t>A 50186-2024</t>
        </is>
      </c>
      <c r="B726" t="inlineStr">
        <is>
          <t>avverkningsanmälan</t>
        </is>
      </c>
      <c r="C726" t="inlineStr">
        <is>
          <t>Föryngringsavverkning</t>
        </is>
      </c>
      <c r="D726" s="1" t="n">
        <v>45600</v>
      </c>
      <c r="E726" s="1" t="n">
        <v>46217</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63191-2023</t>
        </is>
      </c>
      <c r="B727" t="inlineStr">
        <is>
          <t>avverkningsanmälan</t>
        </is>
      </c>
      <c r="C727" t="inlineStr">
        <is>
          <t>Föryngringsavverkning</t>
        </is>
      </c>
      <c r="D727" s="1" t="n">
        <v>45273</v>
      </c>
      <c r="E727" s="1" t="n">
        <v>46217</v>
      </c>
      <c r="F727" t="inlineStr">
        <is>
          <t>KRONOBERGS LÄN</t>
        </is>
      </c>
      <c r="G727" t="inlineStr">
        <is>
          <t>UPPVIDINGE</t>
        </is>
      </c>
      <c r="I727" t="n">
        <v>2.2</v>
      </c>
      <c r="J727" t="n">
        <v>0</v>
      </c>
      <c r="K727" t="n">
        <v>0</v>
      </c>
      <c r="L727" t="n">
        <v>0</v>
      </c>
      <c r="M727" t="n">
        <v>0</v>
      </c>
      <c r="N727" t="n">
        <v>0</v>
      </c>
      <c r="O727" t="n">
        <v>0</v>
      </c>
      <c r="P727" t="n">
        <v>0</v>
      </c>
      <c r="Q727" t="n">
        <v>0</v>
      </c>
      <c r="R727" t="n">
        <v>0</v>
      </c>
      <c r="S727" t="n">
        <v>0</v>
      </c>
      <c r="T727" t="n">
        <v>0</v>
      </c>
      <c r="U727" s="2" t="inlineStr"/>
    </row>
    <row r="728" ht="15" customHeight="1">
      <c r="A728" t="inlineStr">
        <is>
          <t>A 50852-2024</t>
        </is>
      </c>
      <c r="B728" t="inlineStr">
        <is>
          <t>avverkningsanmälan</t>
        </is>
      </c>
      <c r="C728" t="inlineStr">
        <is>
          <t>Föryngringsavverkning</t>
        </is>
      </c>
      <c r="D728" s="1" t="n">
        <v>45601</v>
      </c>
      <c r="E728" s="1" t="n">
        <v>46217</v>
      </c>
      <c r="F728" t="inlineStr">
        <is>
          <t>KRONOBERGS LÄN</t>
        </is>
      </c>
      <c r="G728" t="inlineStr">
        <is>
          <t>UPPVIDINGE</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32712-2024</t>
        </is>
      </c>
      <c r="B729" t="inlineStr">
        <is>
          <t>avverkningsanmälan</t>
        </is>
      </c>
      <c r="C729" t="inlineStr">
        <is>
          <t>Föryngringsavverkning</t>
        </is>
      </c>
      <c r="D729" s="1" t="n">
        <v>45516</v>
      </c>
      <c r="E729" s="1" t="n">
        <v>46217</v>
      </c>
      <c r="F729" t="inlineStr">
        <is>
          <t>KRONOBERGS LÄN</t>
        </is>
      </c>
      <c r="G729" t="inlineStr">
        <is>
          <t>UPPVIDINGE</t>
        </is>
      </c>
      <c r="I729" t="n">
        <v>4.8</v>
      </c>
      <c r="J729" t="n">
        <v>0</v>
      </c>
      <c r="K729" t="n">
        <v>0</v>
      </c>
      <c r="L729" t="n">
        <v>0</v>
      </c>
      <c r="M729" t="n">
        <v>0</v>
      </c>
      <c r="N729" t="n">
        <v>0</v>
      </c>
      <c r="O729" t="n">
        <v>0</v>
      </c>
      <c r="P729" t="n">
        <v>0</v>
      </c>
      <c r="Q729" t="n">
        <v>0</v>
      </c>
      <c r="R729" t="n">
        <v>0</v>
      </c>
      <c r="S729" t="n">
        <v>0</v>
      </c>
      <c r="T729" t="n">
        <v>0</v>
      </c>
      <c r="U729" s="2" t="inlineStr"/>
    </row>
    <row r="730" ht="15" customHeight="1">
      <c r="A730" t="inlineStr">
        <is>
          <t>A 68387-2021</t>
        </is>
      </c>
      <c r="B730" t="inlineStr">
        <is>
          <t>avverkningsanmälan</t>
        </is>
      </c>
      <c r="C730" t="inlineStr">
        <is>
          <t>Föryngringsavverkning</t>
        </is>
      </c>
      <c r="D730" s="1" t="n">
        <v>44526</v>
      </c>
      <c r="E730" s="1" t="n">
        <v>46217</v>
      </c>
      <c r="F730" t="inlineStr">
        <is>
          <t>KRONOBERGS LÄN</t>
        </is>
      </c>
      <c r="G730" t="inlineStr">
        <is>
          <t>UPPVIDINGE</t>
        </is>
      </c>
      <c r="H730" t="inlineStr">
        <is>
          <t>Kyrkan</t>
        </is>
      </c>
      <c r="I730" t="n">
        <v>10</v>
      </c>
      <c r="J730" t="n">
        <v>0</v>
      </c>
      <c r="K730" t="n">
        <v>0</v>
      </c>
      <c r="L730" t="n">
        <v>0</v>
      </c>
      <c r="M730" t="n">
        <v>0</v>
      </c>
      <c r="N730" t="n">
        <v>0</v>
      </c>
      <c r="O730" t="n">
        <v>0</v>
      </c>
      <c r="P730" t="n">
        <v>0</v>
      </c>
      <c r="Q730" t="n">
        <v>0</v>
      </c>
      <c r="R730" t="n">
        <v>0</v>
      </c>
      <c r="S730" t="n">
        <v>0</v>
      </c>
      <c r="T730" t="n">
        <v>0</v>
      </c>
      <c r="U730" s="2" t="inlineStr"/>
    </row>
    <row r="731" ht="15" customHeight="1">
      <c r="A731" t="inlineStr">
        <is>
          <t>A 29964-2024</t>
        </is>
      </c>
      <c r="B731" t="inlineStr">
        <is>
          <t>avverkningsanmälan</t>
        </is>
      </c>
      <c r="C731" t="inlineStr">
        <is>
          <t>Föryngringsavverkning</t>
        </is>
      </c>
      <c r="D731" s="1" t="n">
        <v>45488</v>
      </c>
      <c r="E731" s="1" t="n">
        <v>46217</v>
      </c>
      <c r="F731" t="inlineStr">
        <is>
          <t>KRONOBERGS LÄN</t>
        </is>
      </c>
      <c r="G731" t="inlineStr">
        <is>
          <t>UPPVIDINGE</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31092-2024</t>
        </is>
      </c>
      <c r="B732" t="inlineStr">
        <is>
          <t>avverkningsanmälan</t>
        </is>
      </c>
      <c r="C732" t="inlineStr">
        <is>
          <t>Föryngringsavverkning</t>
        </is>
      </c>
      <c r="D732" s="1" t="n">
        <v>45502</v>
      </c>
      <c r="E732" s="1" t="n">
        <v>46217</v>
      </c>
      <c r="F732" t="inlineStr">
        <is>
          <t>KRONOBERGS LÄN</t>
        </is>
      </c>
      <c r="G732" t="inlineStr">
        <is>
          <t>UPPVIDINGE</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14798-2025</t>
        </is>
      </c>
      <c r="B733" t="inlineStr">
        <is>
          <t>avverkningsanmälan</t>
        </is>
      </c>
      <c r="C733" t="inlineStr">
        <is>
          <t>Föryngringsavverkning</t>
        </is>
      </c>
      <c r="D733" s="1" t="n">
        <v>45742</v>
      </c>
      <c r="E733" s="1" t="n">
        <v>46217</v>
      </c>
      <c r="F733" t="inlineStr">
        <is>
          <t>KRONOBERGS LÄN</t>
        </is>
      </c>
      <c r="G733" t="inlineStr">
        <is>
          <t>UPPVIDINGE</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28042-2024</t>
        </is>
      </c>
      <c r="B734" t="inlineStr">
        <is>
          <t>avverkningsanmälan</t>
        </is>
      </c>
      <c r="C734" t="inlineStr">
        <is>
          <t>Föryngringsavverkning</t>
        </is>
      </c>
      <c r="D734" s="1" t="n">
        <v>45476</v>
      </c>
      <c r="E734" s="1" t="n">
        <v>46217</v>
      </c>
      <c r="F734" t="inlineStr">
        <is>
          <t>KRONOBERGS LÄN</t>
        </is>
      </c>
      <c r="G734" t="inlineStr">
        <is>
          <t>UPPVIDINGE</t>
        </is>
      </c>
      <c r="I734" t="n">
        <v>3.7</v>
      </c>
      <c r="J734" t="n">
        <v>0</v>
      </c>
      <c r="K734" t="n">
        <v>0</v>
      </c>
      <c r="L734" t="n">
        <v>0</v>
      </c>
      <c r="M734" t="n">
        <v>0</v>
      </c>
      <c r="N734" t="n">
        <v>0</v>
      </c>
      <c r="O734" t="n">
        <v>0</v>
      </c>
      <c r="P734" t="n">
        <v>0</v>
      </c>
      <c r="Q734" t="n">
        <v>0</v>
      </c>
      <c r="R734" t="n">
        <v>0</v>
      </c>
      <c r="S734" t="n">
        <v>0</v>
      </c>
      <c r="T734" t="n">
        <v>0</v>
      </c>
      <c r="U734" s="2" t="inlineStr"/>
    </row>
    <row r="735" ht="15" customHeight="1">
      <c r="A735" t="inlineStr">
        <is>
          <t>A 22375-2025</t>
        </is>
      </c>
      <c r="B735" t="inlineStr">
        <is>
          <t>avverkningsanmälan</t>
        </is>
      </c>
      <c r="C735" t="inlineStr">
        <is>
          <t>Föryngringsavverkning</t>
        </is>
      </c>
      <c r="D735" s="1" t="n">
        <v>45786</v>
      </c>
      <c r="E735" s="1" t="n">
        <v>46217</v>
      </c>
      <c r="F735" t="inlineStr">
        <is>
          <t>KRONOBERGS LÄN</t>
        </is>
      </c>
      <c r="G735" t="inlineStr">
        <is>
          <t>UPPVIDINGE</t>
        </is>
      </c>
      <c r="I735" t="n">
        <v>5</v>
      </c>
      <c r="J735" t="n">
        <v>0</v>
      </c>
      <c r="K735" t="n">
        <v>0</v>
      </c>
      <c r="L735" t="n">
        <v>0</v>
      </c>
      <c r="M735" t="n">
        <v>0</v>
      </c>
      <c r="N735" t="n">
        <v>0</v>
      </c>
      <c r="O735" t="n">
        <v>0</v>
      </c>
      <c r="P735" t="n">
        <v>0</v>
      </c>
      <c r="Q735" t="n">
        <v>0</v>
      </c>
      <c r="R735" t="n">
        <v>0</v>
      </c>
      <c r="S735" t="n">
        <v>0</v>
      </c>
      <c r="T735" t="n">
        <v>0</v>
      </c>
      <c r="U735" s="2" t="inlineStr"/>
    </row>
    <row r="736" ht="15" customHeight="1">
      <c r="A736" t="inlineStr">
        <is>
          <t>A 39737-2024</t>
        </is>
      </c>
      <c r="B736" t="inlineStr">
        <is>
          <t>avverkningsanmälan</t>
        </is>
      </c>
      <c r="C736" t="inlineStr">
        <is>
          <t>Föryngringsavverkning</t>
        </is>
      </c>
      <c r="D736" s="1" t="n">
        <v>45552</v>
      </c>
      <c r="E736" s="1" t="n">
        <v>46217</v>
      </c>
      <c r="F736" t="inlineStr">
        <is>
          <t>KRONOBERGS LÄN</t>
        </is>
      </c>
      <c r="G736" t="inlineStr">
        <is>
          <t>UPPVIDINGE</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51414-2024</t>
        </is>
      </c>
      <c r="B737" t="inlineStr">
        <is>
          <t>avverkningsanmälan</t>
        </is>
      </c>
      <c r="C737" t="inlineStr">
        <is>
          <t>Föryngringsavverkning</t>
        </is>
      </c>
      <c r="D737" s="1" t="n">
        <v>45604</v>
      </c>
      <c r="E737" s="1" t="n">
        <v>46217</v>
      </c>
      <c r="F737" t="inlineStr">
        <is>
          <t>KRONOBERGS LÄN</t>
        </is>
      </c>
      <c r="G737" t="inlineStr">
        <is>
          <t>UPPVIDINGE</t>
        </is>
      </c>
      <c r="I737" t="n">
        <v>7.8</v>
      </c>
      <c r="J737" t="n">
        <v>0</v>
      </c>
      <c r="K737" t="n">
        <v>0</v>
      </c>
      <c r="L737" t="n">
        <v>0</v>
      </c>
      <c r="M737" t="n">
        <v>0</v>
      </c>
      <c r="N737" t="n">
        <v>0</v>
      </c>
      <c r="O737" t="n">
        <v>0</v>
      </c>
      <c r="P737" t="n">
        <v>0</v>
      </c>
      <c r="Q737" t="n">
        <v>0</v>
      </c>
      <c r="R737" t="n">
        <v>0</v>
      </c>
      <c r="S737" t="n">
        <v>0</v>
      </c>
      <c r="T737" t="n">
        <v>0</v>
      </c>
      <c r="U737" s="2" t="inlineStr"/>
    </row>
    <row r="738" ht="15" customHeight="1">
      <c r="A738" t="inlineStr">
        <is>
          <t>A 10283-2025</t>
        </is>
      </c>
      <c r="B738" t="inlineStr">
        <is>
          <t>avverkningsanmälan</t>
        </is>
      </c>
      <c r="C738" t="inlineStr">
        <is>
          <t>Föryngringsavverkning</t>
        </is>
      </c>
      <c r="D738" s="1" t="n">
        <v>45720</v>
      </c>
      <c r="E738" s="1" t="n">
        <v>46217</v>
      </c>
      <c r="F738" t="inlineStr">
        <is>
          <t>KRONOBERGS LÄN</t>
        </is>
      </c>
      <c r="G738" t="inlineStr">
        <is>
          <t>UPPVIDINGE</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25348-2025</t>
        </is>
      </c>
      <c r="B739" t="inlineStr">
        <is>
          <t>avverkningsanmälan</t>
        </is>
      </c>
      <c r="C739" t="inlineStr">
        <is>
          <t>Föryngringsavverkning</t>
        </is>
      </c>
      <c r="D739" s="1" t="n">
        <v>45800</v>
      </c>
      <c r="E739" s="1" t="n">
        <v>46217</v>
      </c>
      <c r="F739" t="inlineStr">
        <is>
          <t>KRONOBERGS LÄN</t>
        </is>
      </c>
      <c r="G739" t="inlineStr">
        <is>
          <t>UPPVIDINGE</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25449-2025</t>
        </is>
      </c>
      <c r="B740" t="inlineStr">
        <is>
          <t>avverkningsanmälan</t>
        </is>
      </c>
      <c r="C740" t="inlineStr">
        <is>
          <t>Föryngringsavverkning</t>
        </is>
      </c>
      <c r="D740" s="1" t="n">
        <v>45801</v>
      </c>
      <c r="E740" s="1" t="n">
        <v>46217</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26009-2025</t>
        </is>
      </c>
      <c r="B741" t="inlineStr">
        <is>
          <t>avverkningsanmälan</t>
        </is>
      </c>
      <c r="C741" t="inlineStr">
        <is>
          <t>Avverkning för annat ändamål</t>
        </is>
      </c>
      <c r="D741" s="1" t="n">
        <v>45804</v>
      </c>
      <c r="E741" s="1" t="n">
        <v>46217</v>
      </c>
      <c r="F741" t="inlineStr">
        <is>
          <t>KRONOBERGS LÄN</t>
        </is>
      </c>
      <c r="G741" t="inlineStr">
        <is>
          <t>UPPVIDINGE</t>
        </is>
      </c>
      <c r="I741" t="n">
        <v>4</v>
      </c>
      <c r="J741" t="n">
        <v>0</v>
      </c>
      <c r="K741" t="n">
        <v>0</v>
      </c>
      <c r="L741" t="n">
        <v>0</v>
      </c>
      <c r="M741" t="n">
        <v>0</v>
      </c>
      <c r="N741" t="n">
        <v>0</v>
      </c>
      <c r="O741" t="n">
        <v>0</v>
      </c>
      <c r="P741" t="n">
        <v>0</v>
      </c>
      <c r="Q741" t="n">
        <v>0</v>
      </c>
      <c r="R741" t="n">
        <v>0</v>
      </c>
      <c r="S741" t="n">
        <v>0</v>
      </c>
      <c r="T741" t="n">
        <v>0</v>
      </c>
      <c r="U741" s="2" t="inlineStr"/>
    </row>
    <row r="742" ht="15" customHeight="1">
      <c r="A742" t="inlineStr">
        <is>
          <t>A 25883-2025</t>
        </is>
      </c>
      <c r="B742" t="inlineStr">
        <is>
          <t>avverkningsanmälan</t>
        </is>
      </c>
      <c r="C742" t="inlineStr">
        <is>
          <t>Föryngringsavverkning</t>
        </is>
      </c>
      <c r="D742" s="1" t="n">
        <v>45804</v>
      </c>
      <c r="E742" s="1" t="n">
        <v>46217</v>
      </c>
      <c r="F742" t="inlineStr">
        <is>
          <t>KRONOBERGS LÄN</t>
        </is>
      </c>
      <c r="G742" t="inlineStr">
        <is>
          <t>UPPVIDINGE</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25889-2025</t>
        </is>
      </c>
      <c r="B743" t="inlineStr">
        <is>
          <t>avverkningsanmälan</t>
        </is>
      </c>
      <c r="C743" t="inlineStr">
        <is>
          <t>Föryngringsavverkning</t>
        </is>
      </c>
      <c r="D743" s="1" t="n">
        <v>45804</v>
      </c>
      <c r="E743" s="1" t="n">
        <v>46217</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25448-2025</t>
        </is>
      </c>
      <c r="B744" t="inlineStr">
        <is>
          <t>avverkningsanmälan</t>
        </is>
      </c>
      <c r="C744" t="inlineStr">
        <is>
          <t>Föryngringsavverkning</t>
        </is>
      </c>
      <c r="D744" s="1" t="n">
        <v>45801</v>
      </c>
      <c r="E744" s="1" t="n">
        <v>46217</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A 19055-2025</t>
        </is>
      </c>
      <c r="B745" t="inlineStr">
        <is>
          <t>avverkningsanmälan</t>
        </is>
      </c>
      <c r="C745" t="inlineStr">
        <is>
          <t>Föryngringsavverkning</t>
        </is>
      </c>
      <c r="D745" s="1" t="n">
        <v>45764</v>
      </c>
      <c r="E745" s="1" t="n">
        <v>46217</v>
      </c>
      <c r="F745" t="inlineStr">
        <is>
          <t>KRONOBERGS LÄN</t>
        </is>
      </c>
      <c r="G745" t="inlineStr">
        <is>
          <t>UPPVIDINGE</t>
        </is>
      </c>
      <c r="H745" t="inlineStr">
        <is>
          <t>Sveaskog</t>
        </is>
      </c>
      <c r="I745" t="n">
        <v>16.2</v>
      </c>
      <c r="J745" t="n">
        <v>0</v>
      </c>
      <c r="K745" t="n">
        <v>0</v>
      </c>
      <c r="L745" t="n">
        <v>0</v>
      </c>
      <c r="M745" t="n">
        <v>0</v>
      </c>
      <c r="N745" t="n">
        <v>0</v>
      </c>
      <c r="O745" t="n">
        <v>0</v>
      </c>
      <c r="P745" t="n">
        <v>0</v>
      </c>
      <c r="Q745" t="n">
        <v>0</v>
      </c>
      <c r="R745" t="n">
        <v>0</v>
      </c>
      <c r="S745" t="n">
        <v>0</v>
      </c>
      <c r="T745" t="n">
        <v>0</v>
      </c>
      <c r="U745" s="2" t="inlineStr"/>
    </row>
    <row r="746" ht="15" customHeight="1">
      <c r="A746" t="inlineStr">
        <is>
          <t>A 26267-2025</t>
        </is>
      </c>
      <c r="B746" t="inlineStr">
        <is>
          <t>avverkningsanmälan</t>
        </is>
      </c>
      <c r="C746" t="inlineStr">
        <is>
          <t>Föryngringsavverkning</t>
        </is>
      </c>
      <c r="D746" s="1" t="n">
        <v>45805</v>
      </c>
      <c r="E746" s="1" t="n">
        <v>46217</v>
      </c>
      <c r="F746" t="inlineStr">
        <is>
          <t>KRONOBERGS LÄN</t>
        </is>
      </c>
      <c r="G746" t="inlineStr">
        <is>
          <t>UPPVIDINGE</t>
        </is>
      </c>
      <c r="I746" t="n">
        <v>4.9</v>
      </c>
      <c r="J746" t="n">
        <v>0</v>
      </c>
      <c r="K746" t="n">
        <v>0</v>
      </c>
      <c r="L746" t="n">
        <v>0</v>
      </c>
      <c r="M746" t="n">
        <v>0</v>
      </c>
      <c r="N746" t="n">
        <v>0</v>
      </c>
      <c r="O746" t="n">
        <v>0</v>
      </c>
      <c r="P746" t="n">
        <v>0</v>
      </c>
      <c r="Q746" t="n">
        <v>0</v>
      </c>
      <c r="R746" t="n">
        <v>0</v>
      </c>
      <c r="S746" t="n">
        <v>0</v>
      </c>
      <c r="T746" t="n">
        <v>0</v>
      </c>
      <c r="U746" s="2" t="inlineStr"/>
    </row>
    <row r="747" ht="15" customHeight="1">
      <c r="A747" t="inlineStr">
        <is>
          <t>A 19057-2025</t>
        </is>
      </c>
      <c r="B747" t="inlineStr">
        <is>
          <t>avverkningsanmälan</t>
        </is>
      </c>
      <c r="C747" t="inlineStr">
        <is>
          <t>Föryngringsavverkning</t>
        </is>
      </c>
      <c r="D747" s="1" t="n">
        <v>45764</v>
      </c>
      <c r="E747" s="1" t="n">
        <v>46217</v>
      </c>
      <c r="F747" t="inlineStr">
        <is>
          <t>KRONOBERGS LÄN</t>
        </is>
      </c>
      <c r="G747" t="inlineStr">
        <is>
          <t>UPPVIDINGE</t>
        </is>
      </c>
      <c r="H747" t="inlineStr">
        <is>
          <t>Sveaskog</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26471-2025</t>
        </is>
      </c>
      <c r="B748" t="inlineStr">
        <is>
          <t>avverkningsanmälan</t>
        </is>
      </c>
      <c r="C748" t="inlineStr">
        <is>
          <t>Föryngringsavverkning</t>
        </is>
      </c>
      <c r="D748" s="1" t="n">
        <v>45807</v>
      </c>
      <c r="E748" s="1" t="n">
        <v>46217</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20963-2025</t>
        </is>
      </c>
      <c r="B749" t="inlineStr">
        <is>
          <t>avverkningsanmälan</t>
        </is>
      </c>
      <c r="C749" t="inlineStr">
        <is>
          <t>Föryngringsavverkning</t>
        </is>
      </c>
      <c r="D749" s="1" t="n">
        <v>45777</v>
      </c>
      <c r="E749" s="1" t="n">
        <v>46217</v>
      </c>
      <c r="F749" t="inlineStr">
        <is>
          <t>KRONOBERGS LÄN</t>
        </is>
      </c>
      <c r="G749" t="inlineStr">
        <is>
          <t>UPPVIDINGE</t>
        </is>
      </c>
      <c r="H749" t="inlineStr">
        <is>
          <t>Sveaskog</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28148-2025</t>
        </is>
      </c>
      <c r="B750" t="inlineStr">
        <is>
          <t>avverkningsanmälan</t>
        </is>
      </c>
      <c r="C750" t="inlineStr">
        <is>
          <t>Föryngringsavverkning</t>
        </is>
      </c>
      <c r="D750" s="1" t="n">
        <v>45818</v>
      </c>
      <c r="E750" s="1" t="n">
        <v>46217</v>
      </c>
      <c r="F750" t="inlineStr">
        <is>
          <t>KRONOBERGS LÄN</t>
        </is>
      </c>
      <c r="G750" t="inlineStr">
        <is>
          <t>UPPVIDINGE</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28391-2025</t>
        </is>
      </c>
      <c r="B751" t="inlineStr">
        <is>
          <t>avverkningsanmälan</t>
        </is>
      </c>
      <c r="C751" t="inlineStr">
        <is>
          <t>Föryngringsavverkning</t>
        </is>
      </c>
      <c r="D751" s="1" t="n">
        <v>45819</v>
      </c>
      <c r="E751" s="1" t="n">
        <v>46217</v>
      </c>
      <c r="F751" t="inlineStr">
        <is>
          <t>KRONOBERGS LÄN</t>
        </is>
      </c>
      <c r="G751" t="inlineStr">
        <is>
          <t>UPPVIDINGE</t>
        </is>
      </c>
      <c r="H751" t="inlineStr">
        <is>
          <t>Sveaskog</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28490-2025</t>
        </is>
      </c>
      <c r="B752" t="inlineStr">
        <is>
          <t>avverkningsanmälan</t>
        </is>
      </c>
      <c r="C752" t="inlineStr">
        <is>
          <t>Föryngringsavverkning</t>
        </is>
      </c>
      <c r="D752" s="1" t="n">
        <v>45819</v>
      </c>
      <c r="E752" s="1" t="n">
        <v>46217</v>
      </c>
      <c r="F752" t="inlineStr">
        <is>
          <t>KRONOBERGS LÄN</t>
        </is>
      </c>
      <c r="G752" t="inlineStr">
        <is>
          <t>UPPVIDINGE</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60599-2024</t>
        </is>
      </c>
      <c r="B753" t="inlineStr">
        <is>
          <t>avverkningsanmälan</t>
        </is>
      </c>
      <c r="C753" t="inlineStr">
        <is>
          <t>Föryngringsavverkning</t>
        </is>
      </c>
      <c r="D753" s="1" t="n">
        <v>45644</v>
      </c>
      <c r="E753" s="1" t="n">
        <v>46217</v>
      </c>
      <c r="F753" t="inlineStr">
        <is>
          <t>KRONOBERGS LÄN</t>
        </is>
      </c>
      <c r="G753" t="inlineStr">
        <is>
          <t>UPPVIDINGE</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29989-2025</t>
        </is>
      </c>
      <c r="B754" t="inlineStr">
        <is>
          <t>avverkningsanmälan</t>
        </is>
      </c>
      <c r="C754" t="inlineStr">
        <is>
          <t>Föryngringsavverkning</t>
        </is>
      </c>
      <c r="D754" s="1" t="n">
        <v>45826</v>
      </c>
      <c r="E754" s="1" t="n">
        <v>46217</v>
      </c>
      <c r="F754" t="inlineStr">
        <is>
          <t>KRONOBERGS LÄN</t>
        </is>
      </c>
      <c r="G754" t="inlineStr">
        <is>
          <t>UPPVIDINGE</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29992-2025</t>
        </is>
      </c>
      <c r="B755" t="inlineStr">
        <is>
          <t>avverkningsanmälan</t>
        </is>
      </c>
      <c r="C755" t="inlineStr">
        <is>
          <t>Föryngringsavverkning</t>
        </is>
      </c>
      <c r="D755" s="1" t="n">
        <v>45826</v>
      </c>
      <c r="E755" s="1" t="n">
        <v>46217</v>
      </c>
      <c r="F755" t="inlineStr">
        <is>
          <t>KRONOBERGS LÄN</t>
        </is>
      </c>
      <c r="G755" t="inlineStr">
        <is>
          <t>UPPVIDINGE</t>
        </is>
      </c>
      <c r="I755" t="n">
        <v>5.5</v>
      </c>
      <c r="J755" t="n">
        <v>0</v>
      </c>
      <c r="K755" t="n">
        <v>0</v>
      </c>
      <c r="L755" t="n">
        <v>0</v>
      </c>
      <c r="M755" t="n">
        <v>0</v>
      </c>
      <c r="N755" t="n">
        <v>0</v>
      </c>
      <c r="O755" t="n">
        <v>0</v>
      </c>
      <c r="P755" t="n">
        <v>0</v>
      </c>
      <c r="Q755" t="n">
        <v>0</v>
      </c>
      <c r="R755" t="n">
        <v>0</v>
      </c>
      <c r="S755" t="n">
        <v>0</v>
      </c>
      <c r="T755" t="n">
        <v>0</v>
      </c>
      <c r="U755" s="2" t="inlineStr"/>
    </row>
    <row r="756" ht="15" customHeight="1">
      <c r="A756" t="inlineStr">
        <is>
          <t>A 29980-2025</t>
        </is>
      </c>
      <c r="B756" t="inlineStr">
        <is>
          <t>avverkningsanmälan</t>
        </is>
      </c>
      <c r="C756" t="inlineStr">
        <is>
          <t>Föryngringsavverkning</t>
        </is>
      </c>
      <c r="D756" s="1" t="n">
        <v>45826</v>
      </c>
      <c r="E756" s="1" t="n">
        <v>46217</v>
      </c>
      <c r="F756" t="inlineStr">
        <is>
          <t>KRONOBERGS LÄN</t>
        </is>
      </c>
      <c r="G756" t="inlineStr">
        <is>
          <t>UPPVIDINGE</t>
        </is>
      </c>
      <c r="I756" t="n">
        <v>4.1</v>
      </c>
      <c r="J756" t="n">
        <v>0</v>
      </c>
      <c r="K756" t="n">
        <v>0</v>
      </c>
      <c r="L756" t="n">
        <v>0</v>
      </c>
      <c r="M756" t="n">
        <v>0</v>
      </c>
      <c r="N756" t="n">
        <v>0</v>
      </c>
      <c r="O756" t="n">
        <v>0</v>
      </c>
      <c r="P756" t="n">
        <v>0</v>
      </c>
      <c r="Q756" t="n">
        <v>0</v>
      </c>
      <c r="R756" t="n">
        <v>0</v>
      </c>
      <c r="S756" t="n">
        <v>0</v>
      </c>
      <c r="T756" t="n">
        <v>0</v>
      </c>
      <c r="U756" s="2" t="inlineStr"/>
    </row>
    <row r="757" ht="15" customHeight="1">
      <c r="A757" t="inlineStr">
        <is>
          <t>A 30983-2025</t>
        </is>
      </c>
      <c r="B757" t="inlineStr">
        <is>
          <t>avverkningsanmälan</t>
        </is>
      </c>
      <c r="C757" t="inlineStr">
        <is>
          <t>Föryngringsavverkning</t>
        </is>
      </c>
      <c r="D757" s="1" t="n">
        <v>45832</v>
      </c>
      <c r="E757" s="1" t="n">
        <v>46217</v>
      </c>
      <c r="F757" t="inlineStr">
        <is>
          <t>KRONOBERGS LÄN</t>
        </is>
      </c>
      <c r="G757" t="inlineStr">
        <is>
          <t>UPPVIDINGE</t>
        </is>
      </c>
      <c r="H757" t="inlineStr">
        <is>
          <t>Sveaskog</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330-2024</t>
        </is>
      </c>
      <c r="B758" t="inlineStr">
        <is>
          <t>avverkningsanmälan</t>
        </is>
      </c>
      <c r="C758" t="inlineStr">
        <is>
          <t>Föryngringsavverkning</t>
        </is>
      </c>
      <c r="D758" s="1" t="n">
        <v>45295</v>
      </c>
      <c r="E758" s="1" t="n">
        <v>46217</v>
      </c>
      <c r="F758" t="inlineStr">
        <is>
          <t>KRONOBERGS LÄN</t>
        </is>
      </c>
      <c r="G758" t="inlineStr">
        <is>
          <t>UPPVIDINGE</t>
        </is>
      </c>
      <c r="H758" t="inlineStr">
        <is>
          <t>Sveaskog</t>
        </is>
      </c>
      <c r="I758" t="n">
        <v>3.2</v>
      </c>
      <c r="J758" t="n">
        <v>0</v>
      </c>
      <c r="K758" t="n">
        <v>0</v>
      </c>
      <c r="L758" t="n">
        <v>0</v>
      </c>
      <c r="M758" t="n">
        <v>0</v>
      </c>
      <c r="N758" t="n">
        <v>0</v>
      </c>
      <c r="O758" t="n">
        <v>0</v>
      </c>
      <c r="P758" t="n">
        <v>0</v>
      </c>
      <c r="Q758" t="n">
        <v>0</v>
      </c>
      <c r="R758" t="n">
        <v>0</v>
      </c>
      <c r="S758" t="n">
        <v>0</v>
      </c>
      <c r="T758" t="n">
        <v>0</v>
      </c>
      <c r="U758" s="2" t="inlineStr"/>
    </row>
    <row r="759" ht="15" customHeight="1">
      <c r="A759" t="inlineStr">
        <is>
          <t>A 53698-2023</t>
        </is>
      </c>
      <c r="B759" t="inlineStr">
        <is>
          <t>avverkningsanmälan</t>
        </is>
      </c>
      <c r="C759" t="inlineStr">
        <is>
          <t>Föryngringsavverkning</t>
        </is>
      </c>
      <c r="D759" s="1" t="n">
        <v>45230</v>
      </c>
      <c r="E759" s="1" t="n">
        <v>46217</v>
      </c>
      <c r="F759" t="inlineStr">
        <is>
          <t>KRONOBERGS LÄN</t>
        </is>
      </c>
      <c r="G759" t="inlineStr">
        <is>
          <t>UPPVIDINGE</t>
        </is>
      </c>
      <c r="H759" t="inlineStr">
        <is>
          <t>Sveaskog</t>
        </is>
      </c>
      <c r="I759" t="n">
        <v>0.4</v>
      </c>
      <c r="J759" t="n">
        <v>0</v>
      </c>
      <c r="K759" t="n">
        <v>0</v>
      </c>
      <c r="L759" t="n">
        <v>0</v>
      </c>
      <c r="M759" t="n">
        <v>0</v>
      </c>
      <c r="N759" t="n">
        <v>0</v>
      </c>
      <c r="O759" t="n">
        <v>0</v>
      </c>
      <c r="P759" t="n">
        <v>0</v>
      </c>
      <c r="Q759" t="n">
        <v>0</v>
      </c>
      <c r="R759" t="n">
        <v>0</v>
      </c>
      <c r="S759" t="n">
        <v>0</v>
      </c>
      <c r="T759" t="n">
        <v>0</v>
      </c>
      <c r="U759" s="2" t="inlineStr"/>
    </row>
    <row r="760" ht="15" customHeight="1">
      <c r="A760" t="inlineStr">
        <is>
          <t>A 31445-2023</t>
        </is>
      </c>
      <c r="B760" t="inlineStr">
        <is>
          <t>avverkningsanmälan</t>
        </is>
      </c>
      <c r="C760" t="inlineStr">
        <is>
          <t>Föryngringsavverkning</t>
        </is>
      </c>
      <c r="D760" s="1" t="n">
        <v>45114</v>
      </c>
      <c r="E760" s="1" t="n">
        <v>46217</v>
      </c>
      <c r="F760" t="inlineStr">
        <is>
          <t>KRONOBERGS LÄN</t>
        </is>
      </c>
      <c r="G760" t="inlineStr">
        <is>
          <t>UPPVIDINGE</t>
        </is>
      </c>
      <c r="I760" t="n">
        <v>3.5</v>
      </c>
      <c r="J760" t="n">
        <v>0</v>
      </c>
      <c r="K760" t="n">
        <v>0</v>
      </c>
      <c r="L760" t="n">
        <v>0</v>
      </c>
      <c r="M760" t="n">
        <v>0</v>
      </c>
      <c r="N760" t="n">
        <v>0</v>
      </c>
      <c r="O760" t="n">
        <v>0</v>
      </c>
      <c r="P760" t="n">
        <v>0</v>
      </c>
      <c r="Q760" t="n">
        <v>0</v>
      </c>
      <c r="R760" t="n">
        <v>0</v>
      </c>
      <c r="S760" t="n">
        <v>0</v>
      </c>
      <c r="T760" t="n">
        <v>0</v>
      </c>
      <c r="U760" s="2" t="inlineStr"/>
    </row>
    <row r="761" ht="15" customHeight="1">
      <c r="A761" t="inlineStr">
        <is>
          <t>A 33841-2025</t>
        </is>
      </c>
      <c r="B761" t="inlineStr">
        <is>
          <t>avverkningsanmälan</t>
        </is>
      </c>
      <c r="C761" t="inlineStr">
        <is>
          <t>Föryngringsavverkning</t>
        </is>
      </c>
      <c r="D761" s="1" t="n">
        <v>45842</v>
      </c>
      <c r="E761" s="1" t="n">
        <v>46217</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23662-2025</t>
        </is>
      </c>
      <c r="B762" t="inlineStr">
        <is>
          <t>avverkningsanmälan</t>
        </is>
      </c>
      <c r="C762" t="inlineStr">
        <is>
          <t>Föryngringsavverkning</t>
        </is>
      </c>
      <c r="D762" s="1" t="n">
        <v>45792</v>
      </c>
      <c r="E762" s="1" t="n">
        <v>46217</v>
      </c>
      <c r="F762" t="inlineStr">
        <is>
          <t>KRONOBERGS LÄN</t>
        </is>
      </c>
      <c r="G762" t="inlineStr">
        <is>
          <t>UPPVIDINGE</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36037-2025</t>
        </is>
      </c>
      <c r="B763" t="inlineStr">
        <is>
          <t>avverkningsanmälan</t>
        </is>
      </c>
      <c r="C763" t="inlineStr">
        <is>
          <t>Föryngringsavverkning</t>
        </is>
      </c>
      <c r="D763" s="1" t="n">
        <v>45865</v>
      </c>
      <c r="E763" s="1" t="n">
        <v>46217</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S 3286-2022</t>
        </is>
      </c>
      <c r="B764" t="inlineStr">
        <is>
          <t>samrådsanmälan</t>
        </is>
      </c>
      <c r="C764" t="inlineStr">
        <is>
          <t>Askåterföring</t>
        </is>
      </c>
      <c r="D764" s="1" t="n">
        <v>44726</v>
      </c>
      <c r="E764" s="1" t="n">
        <v>46217</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s="2" t="inlineStr"/>
    </row>
    <row r="765" ht="15" customHeight="1">
      <c r="A765" t="inlineStr">
        <is>
          <t>S 3283-2022</t>
        </is>
      </c>
      <c r="B765" t="inlineStr">
        <is>
          <t>samrådsanmälan</t>
        </is>
      </c>
      <c r="C765" t="inlineStr">
        <is>
          <t>Askåterföring</t>
        </is>
      </c>
      <c r="D765" s="1" t="n">
        <v>44726</v>
      </c>
      <c r="E765" s="1" t="n">
        <v>46217</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s="2" t="inlineStr"/>
    </row>
    <row r="766" ht="15" customHeight="1">
      <c r="A766" t="inlineStr">
        <is>
          <t>S 8095-2021</t>
        </is>
      </c>
      <c r="B766" t="inlineStr">
        <is>
          <t>samrådsanmälan</t>
        </is>
      </c>
      <c r="C766" t="inlineStr">
        <is>
          <t>Skogsbilväg</t>
        </is>
      </c>
      <c r="D766" s="1" t="n">
        <v>44489</v>
      </c>
      <c r="E766" s="1" t="n">
        <v>46217</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s="2" t="inlineStr"/>
    </row>
    <row r="767" ht="15" customHeight="1">
      <c r="A767" t="inlineStr">
        <is>
          <t>S 7179-2022</t>
        </is>
      </c>
      <c r="B767" t="inlineStr">
        <is>
          <t>samrådsanmälan</t>
        </is>
      </c>
      <c r="C767" t="inlineStr">
        <is>
          <t>Askåterföring</t>
        </is>
      </c>
      <c r="D767" s="1" t="n">
        <v>44916</v>
      </c>
      <c r="E767" s="1" t="n">
        <v>46217</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s="2" t="inlineStr"/>
    </row>
    <row r="768" ht="15" customHeight="1">
      <c r="A768" t="inlineStr">
        <is>
          <t>S 2789-2023</t>
        </is>
      </c>
      <c r="B768" t="inlineStr">
        <is>
          <t>samrådsanmälan</t>
        </is>
      </c>
      <c r="C768" t="inlineStr">
        <is>
          <t>Annan skogsbruksåtgärd</t>
        </is>
      </c>
      <c r="D768" s="1" t="n">
        <v>45161</v>
      </c>
      <c r="E768" s="1" t="n">
        <v>46217</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s="2" t="inlineStr"/>
    </row>
    <row r="769" ht="15" customHeight="1">
      <c r="A769" t="inlineStr">
        <is>
          <t>S 2591-2024</t>
        </is>
      </c>
      <c r="B769" t="inlineStr">
        <is>
          <t>samrådsanmälan</t>
        </is>
      </c>
      <c r="C769" t="inlineStr">
        <is>
          <t>Askåterföring</t>
        </is>
      </c>
      <c r="D769" s="1" t="n">
        <v>45476</v>
      </c>
      <c r="E769" s="1" t="n">
        <v>46217</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s="2" t="inlineStr"/>
    </row>
    <row r="770" ht="15" customHeight="1">
      <c r="A770" t="inlineStr">
        <is>
          <t>S 4491-2021</t>
        </is>
      </c>
      <c r="B770" t="inlineStr">
        <is>
          <t>samrådsanmälan</t>
        </is>
      </c>
      <c r="C770" t="inlineStr">
        <is>
          <t>Askåterföring</t>
        </is>
      </c>
      <c r="D770" s="1" t="n">
        <v>44400</v>
      </c>
      <c r="E770" s="1" t="n">
        <v>46217</v>
      </c>
      <c r="F770" t="inlineStr">
        <is>
          <t>KRONOBERGS LÄN</t>
        </is>
      </c>
      <c r="G770" t="inlineStr">
        <is>
          <t>UPPVIDINGE</t>
        </is>
      </c>
      <c r="I770" t="n">
        <v>32.6</v>
      </c>
      <c r="J770" t="n">
        <v>0</v>
      </c>
      <c r="K770" t="n">
        <v>0</v>
      </c>
      <c r="L770" t="n">
        <v>0</v>
      </c>
      <c r="M770" t="n">
        <v>0</v>
      </c>
      <c r="N770" t="n">
        <v>0</v>
      </c>
      <c r="O770" t="n">
        <v>0</v>
      </c>
      <c r="P770" t="n">
        <v>0</v>
      </c>
      <c r="Q770" t="n">
        <v>0</v>
      </c>
      <c r="R770" t="n">
        <v>0</v>
      </c>
      <c r="S770" t="n">
        <v>0</v>
      </c>
      <c r="T770" t="n">
        <v>0</v>
      </c>
      <c r="U770" s="2" t="inlineStr"/>
    </row>
    <row r="771" ht="15" customHeight="1">
      <c r="A771" t="inlineStr">
        <is>
          <t>S 439-2023</t>
        </is>
      </c>
      <c r="B771" t="inlineStr">
        <is>
          <t>samrådsanmälan</t>
        </is>
      </c>
      <c r="C771" t="inlineStr">
        <is>
          <t>Annan skogsbruksåtgärd</t>
        </is>
      </c>
      <c r="D771" s="1" t="n">
        <v>44963</v>
      </c>
      <c r="E771" s="1" t="n">
        <v>46217</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S 23-2023</t>
        </is>
      </c>
      <c r="B772" t="inlineStr">
        <is>
          <t>samrådsanmälan</t>
        </is>
      </c>
      <c r="C772" t="inlineStr">
        <is>
          <t>Askåterföring</t>
        </is>
      </c>
      <c r="D772" s="1" t="n">
        <v>44916</v>
      </c>
      <c r="E772" s="1" t="n">
        <v>46217</v>
      </c>
      <c r="F772" t="inlineStr">
        <is>
          <t>KRONOBERGS LÄN</t>
        </is>
      </c>
      <c r="G772" t="inlineStr">
        <is>
          <t>UPPVIDINGE</t>
        </is>
      </c>
      <c r="I772" t="n">
        <v>55.1</v>
      </c>
      <c r="J772" t="n">
        <v>0</v>
      </c>
      <c r="K772" t="n">
        <v>0</v>
      </c>
      <c r="L772" t="n">
        <v>0</v>
      </c>
      <c r="M772" t="n">
        <v>0</v>
      </c>
      <c r="N772" t="n">
        <v>0</v>
      </c>
      <c r="O772" t="n">
        <v>0</v>
      </c>
      <c r="P772" t="n">
        <v>0</v>
      </c>
      <c r="Q772" t="n">
        <v>0</v>
      </c>
      <c r="R772" t="n">
        <v>0</v>
      </c>
      <c r="S772" t="n">
        <v>0</v>
      </c>
      <c r="T772" t="n">
        <v>0</v>
      </c>
      <c r="U772" s="2" t="inlineStr"/>
    </row>
    <row r="773" ht="15" customHeight="1">
      <c r="A773" t="inlineStr">
        <is>
          <t>S 2565-2023</t>
        </is>
      </c>
      <c r="B773" t="inlineStr">
        <is>
          <t>samrådsanmälan</t>
        </is>
      </c>
      <c r="C773" t="inlineStr">
        <is>
          <t>Annan skogsbruksåtgärd</t>
        </is>
      </c>
      <c r="D773" s="1" t="n">
        <v>45140</v>
      </c>
      <c r="E773" s="1" t="n">
        <v>46217</v>
      </c>
      <c r="F773" t="inlineStr">
        <is>
          <t>KRONOBERGS LÄN</t>
        </is>
      </c>
      <c r="G773" t="inlineStr">
        <is>
          <t>UPPVIDINGE</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S 7060-2021</t>
        </is>
      </c>
      <c r="B774" t="inlineStr">
        <is>
          <t>samrådsanmälan</t>
        </is>
      </c>
      <c r="C774" t="inlineStr">
        <is>
          <t>Annan skogsbruksåtgärd</t>
        </is>
      </c>
      <c r="D774" s="1" t="n">
        <v>44462</v>
      </c>
      <c r="E774" s="1" t="n">
        <v>46217</v>
      </c>
      <c r="F774" t="inlineStr">
        <is>
          <t>KRONOBERGS LÄN</t>
        </is>
      </c>
      <c r="G774" t="inlineStr">
        <is>
          <t>UPPVIDINGE</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S 5540-2022</t>
        </is>
      </c>
      <c r="B775" t="inlineStr">
        <is>
          <t>samrådsanmälan</t>
        </is>
      </c>
      <c r="C775" t="inlineStr">
        <is>
          <t>Skogsbilväg</t>
        </is>
      </c>
      <c r="D775" s="1" t="n">
        <v>44837</v>
      </c>
      <c r="E775" s="1" t="n">
        <v>46217</v>
      </c>
      <c r="F775" t="inlineStr">
        <is>
          <t>KRONOBERGS LÄN</t>
        </is>
      </c>
      <c r="G775" t="inlineStr">
        <is>
          <t>UPPVIDINGE</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S 2790-2023</t>
        </is>
      </c>
      <c r="B776" t="inlineStr">
        <is>
          <t>samrådsanmälan</t>
        </is>
      </c>
      <c r="C776" t="inlineStr">
        <is>
          <t>Annan skogsbruksåtgärd</t>
        </is>
      </c>
      <c r="D776" s="1" t="n">
        <v>45161</v>
      </c>
      <c r="E776" s="1" t="n">
        <v>46217</v>
      </c>
      <c r="F776" t="inlineStr">
        <is>
          <t>KRONOBERGS LÄN</t>
        </is>
      </c>
      <c r="G776" t="inlineStr">
        <is>
          <t>UPPVIDINGE</t>
        </is>
      </c>
      <c r="H776" t="inlineStr">
        <is>
          <t>Sveaskog</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S 6804-2022</t>
        </is>
      </c>
      <c r="B777" t="inlineStr">
        <is>
          <t>samrådsanmälan</t>
        </is>
      </c>
      <c r="C777" t="inlineStr">
        <is>
          <t>Askåterföring</t>
        </is>
      </c>
      <c r="D777" s="1" t="n">
        <v>44893</v>
      </c>
      <c r="E777" s="1" t="n">
        <v>46217</v>
      </c>
      <c r="F777" t="inlineStr">
        <is>
          <t>KRONOBERGS LÄN</t>
        </is>
      </c>
      <c r="G777" t="inlineStr">
        <is>
          <t>UPPVIDINGE</t>
        </is>
      </c>
      <c r="I777" t="n">
        <v>121</v>
      </c>
      <c r="J777" t="n">
        <v>0</v>
      </c>
      <c r="K777" t="n">
        <v>0</v>
      </c>
      <c r="L777" t="n">
        <v>0</v>
      </c>
      <c r="M777" t="n">
        <v>0</v>
      </c>
      <c r="N777" t="n">
        <v>0</v>
      </c>
      <c r="O777" t="n">
        <v>0</v>
      </c>
      <c r="P777" t="n">
        <v>0</v>
      </c>
      <c r="Q777" t="n">
        <v>0</v>
      </c>
      <c r="R777" t="n">
        <v>0</v>
      </c>
      <c r="S777" t="n">
        <v>0</v>
      </c>
      <c r="T777" t="n">
        <v>0</v>
      </c>
      <c r="U777" s="2" t="inlineStr"/>
    </row>
    <row r="778" ht="15" customHeight="1">
      <c r="A778" t="inlineStr">
        <is>
          <t>S 7177-2022</t>
        </is>
      </c>
      <c r="B778" t="inlineStr">
        <is>
          <t>samrådsanmälan</t>
        </is>
      </c>
      <c r="C778" t="inlineStr">
        <is>
          <t>Askåterföring</t>
        </is>
      </c>
      <c r="D778" s="1" t="n">
        <v>44916</v>
      </c>
      <c r="E778" s="1" t="n">
        <v>46217</v>
      </c>
      <c r="F778" t="inlineStr">
        <is>
          <t>KRONOBERGS LÄN</t>
        </is>
      </c>
      <c r="G778" t="inlineStr">
        <is>
          <t>UPPVIDINGE</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S 1382-2024</t>
        </is>
      </c>
      <c r="B779" t="inlineStr">
        <is>
          <t>samrådsanmälan</t>
        </is>
      </c>
      <c r="C779" t="inlineStr">
        <is>
          <t>Askåterföring</t>
        </is>
      </c>
      <c r="D779" s="1" t="n">
        <v>45411</v>
      </c>
      <c r="E779" s="1" t="n">
        <v>46217</v>
      </c>
      <c r="F779" t="inlineStr">
        <is>
          <t>KRONOBERGS LÄN</t>
        </is>
      </c>
      <c r="G779" t="inlineStr">
        <is>
          <t>UPPVIDINGE</t>
        </is>
      </c>
      <c r="I779" t="n">
        <v>26.7</v>
      </c>
      <c r="J779" t="n">
        <v>0</v>
      </c>
      <c r="K779" t="n">
        <v>0</v>
      </c>
      <c r="L779" t="n">
        <v>0</v>
      </c>
      <c r="M779" t="n">
        <v>0</v>
      </c>
      <c r="N779" t="n">
        <v>0</v>
      </c>
      <c r="O779" t="n">
        <v>0</v>
      </c>
      <c r="P779" t="n">
        <v>0</v>
      </c>
      <c r="Q779" t="n">
        <v>0</v>
      </c>
      <c r="R779" t="n">
        <v>0</v>
      </c>
      <c r="S779" t="n">
        <v>0</v>
      </c>
      <c r="T779" t="n">
        <v>0</v>
      </c>
      <c r="U779" s="2" t="inlineStr"/>
    </row>
    <row r="780" ht="15" customHeight="1">
      <c r="A780" t="inlineStr">
        <is>
          <t>S 1523-2025</t>
        </is>
      </c>
      <c r="B780" t="inlineStr">
        <is>
          <t>samrådsanmälan</t>
        </is>
      </c>
      <c r="C780" t="inlineStr">
        <is>
          <t>Skogsbilväg</t>
        </is>
      </c>
      <c r="D780" s="1" t="n">
        <v>45791</v>
      </c>
      <c r="E780" s="1" t="n">
        <v>46217</v>
      </c>
      <c r="F780" t="inlineStr">
        <is>
          <t>KRONOBERGS LÄN</t>
        </is>
      </c>
      <c r="G780" t="inlineStr">
        <is>
          <t>UPPVIDINGE</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2541-2025</t>
        </is>
      </c>
      <c r="B781" t="inlineStr">
        <is>
          <t>samrådsanmälan</t>
        </is>
      </c>
      <c r="C781" t="inlineStr">
        <is>
          <t>Annan skogsbruksåtgärd</t>
        </is>
      </c>
      <c r="D781" s="1" t="n">
        <v>45910</v>
      </c>
      <c r="E781" s="1" t="n">
        <v>46217</v>
      </c>
      <c r="F781" t="inlineStr">
        <is>
          <t>KRONOBERGS LÄN</t>
        </is>
      </c>
      <c r="G781" t="inlineStr">
        <is>
          <t>UPPVIDINGE</t>
        </is>
      </c>
      <c r="I781" t="n">
        <v>3.6</v>
      </c>
      <c r="J781" t="n">
        <v>0</v>
      </c>
      <c r="K781" t="n">
        <v>0</v>
      </c>
      <c r="L781" t="n">
        <v>0</v>
      </c>
      <c r="M781" t="n">
        <v>0</v>
      </c>
      <c r="N781" t="n">
        <v>0</v>
      </c>
      <c r="O781" t="n">
        <v>0</v>
      </c>
      <c r="P781" t="n">
        <v>0</v>
      </c>
      <c r="Q781" t="n">
        <v>0</v>
      </c>
      <c r="R781" t="n">
        <v>0</v>
      </c>
      <c r="S781" t="n">
        <v>0</v>
      </c>
      <c r="T781" t="n">
        <v>0</v>
      </c>
      <c r="U781" s="2" t="inlineStr"/>
    </row>
    <row r="782" ht="15" customHeight="1">
      <c r="A782" t="inlineStr">
        <is>
          <t>S 35-2026</t>
        </is>
      </c>
      <c r="B782" t="inlineStr">
        <is>
          <t>samrådsanmälan</t>
        </is>
      </c>
      <c r="C782" t="inlineStr">
        <is>
          <t>Askåterföring</t>
        </is>
      </c>
      <c r="D782" s="1" t="n">
        <v>46030</v>
      </c>
      <c r="E782" s="1" t="n">
        <v>46217</v>
      </c>
      <c r="F782" t="inlineStr">
        <is>
          <t>KRONOBERGS LÄN</t>
        </is>
      </c>
      <c r="G782" t="inlineStr">
        <is>
          <t>UPPVIDINGE</t>
        </is>
      </c>
      <c r="I782" t="n">
        <v>41</v>
      </c>
      <c r="J782" t="n">
        <v>0</v>
      </c>
      <c r="K782" t="n">
        <v>0</v>
      </c>
      <c r="L782" t="n">
        <v>0</v>
      </c>
      <c r="M782" t="n">
        <v>0</v>
      </c>
      <c r="N782" t="n">
        <v>0</v>
      </c>
      <c r="O782" t="n">
        <v>0</v>
      </c>
      <c r="P782" t="n">
        <v>0</v>
      </c>
      <c r="Q782" t="n">
        <v>0</v>
      </c>
      <c r="R782" t="n">
        <v>0</v>
      </c>
      <c r="S782" t="n">
        <v>0</v>
      </c>
      <c r="T782" t="n">
        <v>0</v>
      </c>
      <c r="U782" s="2" t="inlineStr"/>
    </row>
    <row r="783">
      <c r="A783" t="inlineStr">
        <is>
          <t>S 234-2026</t>
        </is>
      </c>
      <c r="B783" t="inlineStr">
        <is>
          <t>samrådsanmälan</t>
        </is>
      </c>
      <c r="C783" t="inlineStr">
        <is>
          <t>Annan skogsbruksåtgärd</t>
        </is>
      </c>
      <c r="D783" s="1" t="n">
        <v>46051</v>
      </c>
      <c r="E783" s="1" t="n">
        <v>46217</v>
      </c>
      <c r="F783" t="inlineStr">
        <is>
          <t>KRONOBERGS LÄN</t>
        </is>
      </c>
      <c r="G783" t="inlineStr">
        <is>
          <t>UPPVIDINGE</t>
        </is>
      </c>
      <c r="I783" t="n">
        <v>10.5</v>
      </c>
      <c r="J783" t="n">
        <v>0</v>
      </c>
      <c r="K783" t="n">
        <v>0</v>
      </c>
      <c r="L783" t="n">
        <v>0</v>
      </c>
      <c r="M783" t="n">
        <v>0</v>
      </c>
      <c r="N783" t="n">
        <v>0</v>
      </c>
      <c r="O783" t="n">
        <v>0</v>
      </c>
      <c r="P783" t="n">
        <v>0</v>
      </c>
      <c r="Q783" t="n">
        <v>0</v>
      </c>
      <c r="R783" t="n">
        <v>0</v>
      </c>
      <c r="S783" t="n">
        <v>0</v>
      </c>
      <c r="T783" t="n">
        <v>0</v>
      </c>
      <c r="U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2026-07-14T08:57:39Z</dcterms:created>
  <dcterms:modified xmlns:dcterms="http://purl.org/dc/terms/" xmlns:xsi="http://www.w3.org/2001/XMLSchema-instance" xsi:type="dcterms:W3CDTF">2026-07-14T08:57:40Z</dcterms:modified>
</cp:coreProperties>
</file>