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45883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45883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45883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45883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45883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45883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45883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45883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45883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45883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45883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45883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45883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51447-2024</t>
        </is>
      </c>
      <c r="B16" s="1" t="n">
        <v>45604.48800925926</v>
      </c>
      <c r="C16" s="1" t="n">
        <v>45883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Tjäder</t>
        </is>
      </c>
      <c r="S16">
        <f>HYPERLINK("https://klasma.github.io/Logging_0760/artfynd/A 51447-2024 artfynd.xlsx", "A 51447-2024")</f>
        <v/>
      </c>
      <c r="T16">
        <f>HYPERLINK("https://klasma.github.io/Logging_0760/kartor/A 51447-2024 karta.png", "A 51447-2024")</f>
        <v/>
      </c>
      <c r="V16">
        <f>HYPERLINK("https://klasma.github.io/Logging_0760/klagomål/A 51447-2024 FSC-klagomål.docx", "A 51447-2024")</f>
        <v/>
      </c>
      <c r="W16">
        <f>HYPERLINK("https://klasma.github.io/Logging_0760/klagomålsmail/A 51447-2024 FSC-klagomål mail.docx", "A 51447-2024")</f>
        <v/>
      </c>
      <c r="X16">
        <f>HYPERLINK("https://klasma.github.io/Logging_0760/tillsyn/A 51447-2024 tillsynsbegäran.docx", "A 51447-2024")</f>
        <v/>
      </c>
      <c r="Y16">
        <f>HYPERLINK("https://klasma.github.io/Logging_0760/tillsynsmail/A 51447-2024 tillsynsbegäran mail.docx", "A 51447-2024")</f>
        <v/>
      </c>
      <c r="Z16">
        <f>HYPERLINK("https://klasma.github.io/Logging_0760/fåglar/A 51447-2024 prioriterade fågelarter.docx", "A 51447-2024")</f>
        <v/>
      </c>
    </row>
    <row r="17" ht="15" customHeight="1">
      <c r="A17" t="inlineStr">
        <is>
          <t>A 15506-2025</t>
        </is>
      </c>
      <c r="B17" s="1" t="n">
        <v>45747</v>
      </c>
      <c r="C17" s="1" t="n">
        <v>45883</v>
      </c>
      <c r="D17" t="inlineStr">
        <is>
          <t>KRONOBERGS LÄN</t>
        </is>
      </c>
      <c r="E17" t="inlineStr">
        <is>
          <t>UPPVIDINGE</t>
        </is>
      </c>
      <c r="F17" t="inlineStr">
        <is>
          <t>Kommuner</t>
        </is>
      </c>
      <c r="G17" t="n">
        <v>2.9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Gullviva
Revlummer</t>
        </is>
      </c>
      <c r="S17">
        <f>HYPERLINK("https://klasma.github.io/Logging_0760/artfynd/A 15506-2025 artfynd.xlsx", "A 15506-2025")</f>
        <v/>
      </c>
      <c r="T17">
        <f>HYPERLINK("https://klasma.github.io/Logging_0760/kartor/A 15506-2025 karta.png", "A 15506-2025")</f>
        <v/>
      </c>
      <c r="V17">
        <f>HYPERLINK("https://klasma.github.io/Logging_0760/klagomål/A 15506-2025 FSC-klagomål.docx", "A 15506-2025")</f>
        <v/>
      </c>
      <c r="W17">
        <f>HYPERLINK("https://klasma.github.io/Logging_0760/klagomålsmail/A 15506-2025 FSC-klagomål mail.docx", "A 15506-2025")</f>
        <v/>
      </c>
      <c r="X17">
        <f>HYPERLINK("https://klasma.github.io/Logging_0760/tillsyn/A 15506-2025 tillsynsbegäran.docx", "A 15506-2025")</f>
        <v/>
      </c>
      <c r="Y17">
        <f>HYPERLINK("https://klasma.github.io/Logging_0760/tillsynsmail/A 15506-2025 tillsynsbegäran mail.docx", "A 15506-2025")</f>
        <v/>
      </c>
    </row>
    <row r="18" ht="15" customHeight="1">
      <c r="A18" t="inlineStr">
        <is>
          <t>A 42930-2022</t>
        </is>
      </c>
      <c r="B18" s="1" t="n">
        <v>44833</v>
      </c>
      <c r="C18" s="1" t="n">
        <v>45883</v>
      </c>
      <c r="D18" t="inlineStr">
        <is>
          <t>KRONOBERGS LÄN</t>
        </is>
      </c>
      <c r="E18" t="inlineStr">
        <is>
          <t>UPPVIDINGE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Fläcknycklar</t>
        </is>
      </c>
      <c r="S18">
        <f>HYPERLINK("https://klasma.github.io/Logging_0760/artfynd/A 42930-2022 artfynd.xlsx", "A 42930-2022")</f>
        <v/>
      </c>
      <c r="T18">
        <f>HYPERLINK("https://klasma.github.io/Logging_0760/kartor/A 42930-2022 karta.png", "A 42930-2022")</f>
        <v/>
      </c>
      <c r="V18">
        <f>HYPERLINK("https://klasma.github.io/Logging_0760/klagomål/A 42930-2022 FSC-klagomål.docx", "A 42930-2022")</f>
        <v/>
      </c>
      <c r="W18">
        <f>HYPERLINK("https://klasma.github.io/Logging_0760/klagomålsmail/A 42930-2022 FSC-klagomål mail.docx", "A 42930-2022")</f>
        <v/>
      </c>
      <c r="X18">
        <f>HYPERLINK("https://klasma.github.io/Logging_0760/tillsyn/A 42930-2022 tillsynsbegäran.docx", "A 42930-2022")</f>
        <v/>
      </c>
      <c r="Y18">
        <f>HYPERLINK("https://klasma.github.io/Logging_0760/tillsynsmail/A 42930-2022 tillsynsbegäran mail.docx", "A 42930-2022")</f>
        <v/>
      </c>
    </row>
    <row r="19" ht="15" customHeight="1">
      <c r="A19" t="inlineStr">
        <is>
          <t>A 23115-2024</t>
        </is>
      </c>
      <c r="B19" s="1" t="n">
        <v>45450.57783564815</v>
      </c>
      <c r="C19" s="1" t="n">
        <v>45883</v>
      </c>
      <c r="D19" t="inlineStr">
        <is>
          <t>KRONOBERGS LÄN</t>
        </is>
      </c>
      <c r="E19" t="inlineStr">
        <is>
          <t>UPPVIDINGE</t>
        </is>
      </c>
      <c r="G19" t="n">
        <v>4.8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HYPERLINK("https://klasma.github.io/Logging_0760/artfynd/A 23115-2024 artfynd.xlsx", "A 23115-2024")</f>
        <v/>
      </c>
      <c r="T19">
        <f>HYPERLINK("https://klasma.github.io/Logging_0760/kartor/A 23115-2024 karta.png", "A 23115-2024")</f>
        <v/>
      </c>
      <c r="U19">
        <f>HYPERLINK("https://klasma.github.io/Logging_0760/knärot/A 23115-2024 karta knärot.png", "A 23115-2024")</f>
        <v/>
      </c>
      <c r="V19">
        <f>HYPERLINK("https://klasma.github.io/Logging_0760/klagomål/A 23115-2024 FSC-klagomål.docx", "A 23115-2024")</f>
        <v/>
      </c>
      <c r="W19">
        <f>HYPERLINK("https://klasma.github.io/Logging_0760/klagomålsmail/A 23115-2024 FSC-klagomål mail.docx", "A 23115-2024")</f>
        <v/>
      </c>
      <c r="X19">
        <f>HYPERLINK("https://klasma.github.io/Logging_0760/tillsyn/A 23115-2024 tillsynsbegäran.docx", "A 23115-2024")</f>
        <v/>
      </c>
      <c r="Y19">
        <f>HYPERLINK("https://klasma.github.io/Logging_0760/tillsynsmail/A 23115-2024 tillsynsbegäran mail.docx", "A 23115-2024")</f>
        <v/>
      </c>
    </row>
    <row r="20" ht="15" customHeight="1">
      <c r="A20" t="inlineStr">
        <is>
          <t>A 51489-2024</t>
        </is>
      </c>
      <c r="B20" s="1" t="n">
        <v>45604.53089120371</v>
      </c>
      <c r="C20" s="1" t="n">
        <v>45883</v>
      </c>
      <c r="D20" t="inlineStr">
        <is>
          <t>KRONOBERGS LÄN</t>
        </is>
      </c>
      <c r="E20" t="inlineStr">
        <is>
          <t>UPPVIDINGE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Tibast</t>
        </is>
      </c>
      <c r="S20">
        <f>HYPERLINK("https://klasma.github.io/Logging_0760/artfynd/A 51489-2024 artfynd.xlsx", "A 51489-2024")</f>
        <v/>
      </c>
      <c r="T20">
        <f>HYPERLINK("https://klasma.github.io/Logging_0760/kartor/A 51489-2024 karta.png", "A 51489-2024")</f>
        <v/>
      </c>
      <c r="V20">
        <f>HYPERLINK("https://klasma.github.io/Logging_0760/klagomål/A 51489-2024 FSC-klagomål.docx", "A 51489-2024")</f>
        <v/>
      </c>
      <c r="W20">
        <f>HYPERLINK("https://klasma.github.io/Logging_0760/klagomålsmail/A 51489-2024 FSC-klagomål mail.docx", "A 51489-2024")</f>
        <v/>
      </c>
      <c r="X20">
        <f>HYPERLINK("https://klasma.github.io/Logging_0760/tillsyn/A 51489-2024 tillsynsbegäran.docx", "A 51489-2024")</f>
        <v/>
      </c>
      <c r="Y20">
        <f>HYPERLINK("https://klasma.github.io/Logging_0760/tillsynsmail/A 51489-2024 tillsynsbegäran mail.docx", "A 51489-2024")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45883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45883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29988-2025</t>
        </is>
      </c>
      <c r="B23" s="1" t="n">
        <v>45826.4996875</v>
      </c>
      <c r="C23" s="1" t="n">
        <v>45883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Slåttergubbe
Slåttergubbemal</t>
        </is>
      </c>
      <c r="S23">
        <f>HYPERLINK("https://klasma.github.io/Logging_0760/artfynd/A 29988-2025 artfynd.xlsx", "A 29988-2025")</f>
        <v/>
      </c>
      <c r="T23">
        <f>HYPERLINK("https://klasma.github.io/Logging_0760/kartor/A 29988-2025 karta.png", "A 29988-2025")</f>
        <v/>
      </c>
      <c r="V23">
        <f>HYPERLINK("https://klasma.github.io/Logging_0760/klagomål/A 29988-2025 FSC-klagomål.docx", "A 29988-2025")</f>
        <v/>
      </c>
      <c r="W23">
        <f>HYPERLINK("https://klasma.github.io/Logging_0760/klagomålsmail/A 29988-2025 FSC-klagomål mail.docx", "A 29988-2025")</f>
        <v/>
      </c>
      <c r="X23">
        <f>HYPERLINK("https://klasma.github.io/Logging_0760/tillsyn/A 29988-2025 tillsynsbegäran.docx", "A 29988-2025")</f>
        <v/>
      </c>
      <c r="Y23">
        <f>HYPERLINK("https://klasma.github.io/Logging_0760/tillsynsmail/A 29988-2025 tillsynsbegäran mail.docx", "A 29988-2025")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45883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45883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45883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927-2021</t>
        </is>
      </c>
      <c r="B27" s="1" t="n">
        <v>44207</v>
      </c>
      <c r="C27" s="1" t="n">
        <v>45883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HYPERLINK("https://klasma.github.io/Logging_0760/artfynd/A 927-2021 artfynd.xlsx", "A 927-2021")</f>
        <v/>
      </c>
      <c r="T27">
        <f>HYPERLINK("https://klasma.github.io/Logging_0760/kartor/A 927-2021 karta.png", "A 927-2021")</f>
        <v/>
      </c>
      <c r="V27">
        <f>HYPERLINK("https://klasma.github.io/Logging_0760/klagomål/A 927-2021 FSC-klagomål.docx", "A 927-2021")</f>
        <v/>
      </c>
      <c r="W27">
        <f>HYPERLINK("https://klasma.github.io/Logging_0760/klagomålsmail/A 927-2021 FSC-klagomål mail.docx", "A 927-2021")</f>
        <v/>
      </c>
      <c r="X27">
        <f>HYPERLINK("https://klasma.github.io/Logging_0760/tillsyn/A 927-2021 tillsynsbegäran.docx", "A 927-2021")</f>
        <v/>
      </c>
      <c r="Y27">
        <f>HYPERLINK("https://klasma.github.io/Logging_0760/tillsynsmail/A 927-2021 tillsynsbegäran mail.docx", "A 927-2021")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45883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4720-2025</t>
        </is>
      </c>
      <c r="B29" s="1" t="n">
        <v>45688.41431712963</v>
      </c>
      <c r="C29" s="1" t="n">
        <v>45883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HYPERLINK("https://klasma.github.io/Logging_0760/artfynd/A 4720-2025 artfynd.xlsx", "A 4720-2025")</f>
        <v/>
      </c>
      <c r="T29">
        <f>HYPERLINK("https://klasma.github.io/Logging_0760/kartor/A 4720-2025 karta.png", "A 4720-2025")</f>
        <v/>
      </c>
      <c r="V29">
        <f>HYPERLINK("https://klasma.github.io/Logging_0760/klagomål/A 4720-2025 FSC-klagomål.docx", "A 4720-2025")</f>
        <v/>
      </c>
      <c r="W29">
        <f>HYPERLINK("https://klasma.github.io/Logging_0760/klagomålsmail/A 4720-2025 FSC-klagomål mail.docx", "A 4720-2025")</f>
        <v/>
      </c>
      <c r="X29">
        <f>HYPERLINK("https://klasma.github.io/Logging_0760/tillsyn/A 4720-2025 tillsynsbegäran.docx", "A 4720-2025")</f>
        <v/>
      </c>
      <c r="Y29">
        <f>HYPERLINK("https://klasma.github.io/Logging_0760/tillsynsmail/A 4720-2025 tillsynsbegäran mail.docx", "A 4720-2025")</f>
        <v/>
      </c>
    </row>
    <row r="30" ht="15" customHeight="1">
      <c r="A30" t="inlineStr">
        <is>
          <t>A 3677-2023</t>
        </is>
      </c>
      <c r="B30" s="1" t="n">
        <v>44950</v>
      </c>
      <c r="C30" s="1" t="n">
        <v>45883</v>
      </c>
      <c r="D30" t="inlineStr">
        <is>
          <t>KRONOBERGS LÄN</t>
        </is>
      </c>
      <c r="E30" t="inlineStr">
        <is>
          <t>UPPVIDINGE</t>
        </is>
      </c>
      <c r="G30" t="n">
        <v>13.4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HYPERLINK("https://klasma.github.io/Logging_0760/artfynd/A 3677-2023 artfynd.xlsx", "A 3677-2023")</f>
        <v/>
      </c>
      <c r="T30">
        <f>HYPERLINK("https://klasma.github.io/Logging_0760/kartor/A 3677-2023 karta.png", "A 3677-2023")</f>
        <v/>
      </c>
      <c r="V30">
        <f>HYPERLINK("https://klasma.github.io/Logging_0760/klagomål/A 3677-2023 FSC-klagomål.docx", "A 3677-2023")</f>
        <v/>
      </c>
      <c r="W30">
        <f>HYPERLINK("https://klasma.github.io/Logging_0760/klagomålsmail/A 3677-2023 FSC-klagomål mail.docx", "A 3677-2023")</f>
        <v/>
      </c>
      <c r="X30">
        <f>HYPERLINK("https://klasma.github.io/Logging_0760/tillsyn/A 3677-2023 tillsynsbegäran.docx", "A 3677-2023")</f>
        <v/>
      </c>
      <c r="Y30">
        <f>HYPERLINK("https://klasma.github.io/Logging_0760/tillsynsmail/A 3677-2023 tillsynsbegäran mail.docx", "A 3677-2023")</f>
        <v/>
      </c>
    </row>
    <row r="31" ht="15" customHeight="1">
      <c r="A31" t="inlineStr">
        <is>
          <t>A 55805-2020</t>
        </is>
      </c>
      <c r="B31" s="1" t="n">
        <v>44132</v>
      </c>
      <c r="C31" s="1" t="n">
        <v>45883</v>
      </c>
      <c r="D31" t="inlineStr">
        <is>
          <t>KRONOBERGS LÄN</t>
        </is>
      </c>
      <c r="E31" t="inlineStr">
        <is>
          <t>UPPVIDINGE</t>
        </is>
      </c>
      <c r="G31" t="n">
        <v>5.7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55805-2020 artfynd.xlsx", "A 55805-2020")</f>
        <v/>
      </c>
      <c r="T31">
        <f>HYPERLINK("https://klasma.github.io/Logging_0760/kartor/A 55805-2020 karta.png", "A 55805-2020")</f>
        <v/>
      </c>
      <c r="U31">
        <f>HYPERLINK("https://klasma.github.io/Logging_0760/knärot/A 55805-2020 karta knärot.png", "A 55805-2020")</f>
        <v/>
      </c>
      <c r="V31">
        <f>HYPERLINK("https://klasma.github.io/Logging_0760/klagomål/A 55805-2020 FSC-klagomål.docx", "A 55805-2020")</f>
        <v/>
      </c>
      <c r="W31">
        <f>HYPERLINK("https://klasma.github.io/Logging_0760/klagomålsmail/A 55805-2020 FSC-klagomål mail.docx", "A 55805-2020")</f>
        <v/>
      </c>
      <c r="X31">
        <f>HYPERLINK("https://klasma.github.io/Logging_0760/tillsyn/A 55805-2020 tillsynsbegäran.docx", "A 55805-2020")</f>
        <v/>
      </c>
      <c r="Y31">
        <f>HYPERLINK("https://klasma.github.io/Logging_0760/tillsynsmail/A 55805-2020 tillsynsbegäran mail.docx", "A 55805-2020")</f>
        <v/>
      </c>
    </row>
    <row r="32" ht="15" customHeight="1">
      <c r="A32" t="inlineStr">
        <is>
          <t>A 15510-2025</t>
        </is>
      </c>
      <c r="B32" s="1" t="n">
        <v>45747</v>
      </c>
      <c r="C32" s="1" t="n">
        <v>45883</v>
      </c>
      <c r="D32" t="inlineStr">
        <is>
          <t>KRONOBERGS LÄN</t>
        </is>
      </c>
      <c r="E32" t="inlineStr">
        <is>
          <t>UPPVIDINGE</t>
        </is>
      </c>
      <c r="F32" t="inlineStr">
        <is>
          <t>Kommuner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HYPERLINK("https://klasma.github.io/Logging_0760/artfynd/A 15510-2025 artfynd.xlsx", "A 15510-2025")</f>
        <v/>
      </c>
      <c r="T32">
        <f>HYPERLINK("https://klasma.github.io/Logging_0760/kartor/A 15510-2025 karta.png", "A 15510-2025")</f>
        <v/>
      </c>
      <c r="V32">
        <f>HYPERLINK("https://klasma.github.io/Logging_0760/klagomål/A 15510-2025 FSC-klagomål.docx", "A 15510-2025")</f>
        <v/>
      </c>
      <c r="W32">
        <f>HYPERLINK("https://klasma.github.io/Logging_0760/klagomålsmail/A 15510-2025 FSC-klagomål mail.docx", "A 15510-2025")</f>
        <v/>
      </c>
      <c r="X32">
        <f>HYPERLINK("https://klasma.github.io/Logging_0760/tillsyn/A 15510-2025 tillsynsbegäran.docx", "A 15510-2025")</f>
        <v/>
      </c>
      <c r="Y32">
        <f>HYPERLINK("https://klasma.github.io/Logging_0760/tillsynsmail/A 15510-2025 tillsynsbegäran mail.docx", "A 15510-2025")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45883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45883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45886-2020</t>
        </is>
      </c>
      <c r="B35" s="1" t="n">
        <v>44091</v>
      </c>
      <c r="C35" s="1" t="n">
        <v>45883</v>
      </c>
      <c r="D35" t="inlineStr">
        <is>
          <t>KRONOBERGS LÄN</t>
        </is>
      </c>
      <c r="E35" t="inlineStr">
        <is>
          <t>UPPVIDINGE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Hagfingersvamp</t>
        </is>
      </c>
      <c r="S35">
        <f>HYPERLINK("https://klasma.github.io/Logging_0760/artfynd/A 45886-2020 artfynd.xlsx", "A 45886-2020")</f>
        <v/>
      </c>
      <c r="T35">
        <f>HYPERLINK("https://klasma.github.io/Logging_0760/kartor/A 45886-2020 karta.png", "A 45886-2020")</f>
        <v/>
      </c>
      <c r="V35">
        <f>HYPERLINK("https://klasma.github.io/Logging_0760/klagomål/A 45886-2020 FSC-klagomål.docx", "A 45886-2020")</f>
        <v/>
      </c>
      <c r="W35">
        <f>HYPERLINK("https://klasma.github.io/Logging_0760/klagomålsmail/A 45886-2020 FSC-klagomål mail.docx", "A 45886-2020")</f>
        <v/>
      </c>
      <c r="X35">
        <f>HYPERLINK("https://klasma.github.io/Logging_0760/tillsyn/A 45886-2020 tillsynsbegäran.docx", "A 45886-2020")</f>
        <v/>
      </c>
      <c r="Y35">
        <f>HYPERLINK("https://klasma.github.io/Logging_0760/tillsynsmail/A 45886-2020 tillsynsbegäran mail.docx", "A 45886-2020")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45883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45883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45883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63385-2020</t>
        </is>
      </c>
      <c r="B39" s="1" t="n">
        <v>44160</v>
      </c>
      <c r="C39" s="1" t="n">
        <v>45883</v>
      </c>
      <c r="D39" t="inlineStr">
        <is>
          <t>KRONOBERGS LÄN</t>
        </is>
      </c>
      <c r="E39" t="inlineStr">
        <is>
          <t>UPPVIDINGE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Blodvaxing</t>
        </is>
      </c>
      <c r="S39">
        <f>HYPERLINK("https://klasma.github.io/Logging_0760/artfynd/A 63385-2020 artfynd.xlsx", "A 63385-2020")</f>
        <v/>
      </c>
      <c r="T39">
        <f>HYPERLINK("https://klasma.github.io/Logging_0760/kartor/A 63385-2020 karta.png", "A 63385-2020")</f>
        <v/>
      </c>
      <c r="V39">
        <f>HYPERLINK("https://klasma.github.io/Logging_0760/klagomål/A 63385-2020 FSC-klagomål.docx", "A 63385-2020")</f>
        <v/>
      </c>
      <c r="W39">
        <f>HYPERLINK("https://klasma.github.io/Logging_0760/klagomålsmail/A 63385-2020 FSC-klagomål mail.docx", "A 63385-2020")</f>
        <v/>
      </c>
      <c r="X39">
        <f>HYPERLINK("https://klasma.github.io/Logging_0760/tillsyn/A 63385-2020 tillsynsbegäran.docx", "A 63385-2020")</f>
        <v/>
      </c>
      <c r="Y39">
        <f>HYPERLINK("https://klasma.github.io/Logging_0760/tillsynsmail/A 63385-2020 tillsynsbegäran mail.docx", "A 63385-2020")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45883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45883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23183-2025</t>
        </is>
      </c>
      <c r="B42" s="1" t="n">
        <v>45791.44271990741</v>
      </c>
      <c r="C42" s="1" t="n">
        <v>45883</v>
      </c>
      <c r="D42" t="inlineStr">
        <is>
          <t>KRONOBERGS LÄN</t>
        </is>
      </c>
      <c r="E42" t="inlineStr">
        <is>
          <t>UPPVIDINGE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23183-2025 artfynd.xlsx", "A 23183-2025")</f>
        <v/>
      </c>
      <c r="T42">
        <f>HYPERLINK("https://klasma.github.io/Logging_0760/kartor/A 23183-2025 karta.png", "A 23183-2025")</f>
        <v/>
      </c>
      <c r="V42">
        <f>HYPERLINK("https://klasma.github.io/Logging_0760/klagomål/A 23183-2025 FSC-klagomål.docx", "A 23183-2025")</f>
        <v/>
      </c>
      <c r="W42">
        <f>HYPERLINK("https://klasma.github.io/Logging_0760/klagomålsmail/A 23183-2025 FSC-klagomål mail.docx", "A 23183-2025")</f>
        <v/>
      </c>
      <c r="X42">
        <f>HYPERLINK("https://klasma.github.io/Logging_0760/tillsyn/A 23183-2025 tillsynsbegäran.docx", "A 23183-2025")</f>
        <v/>
      </c>
      <c r="Y42">
        <f>HYPERLINK("https://klasma.github.io/Logging_0760/tillsynsmail/A 23183-2025 tillsynsbegäran mail.docx", "A 23183-2025")</f>
        <v/>
      </c>
    </row>
    <row r="43" ht="15" customHeight="1">
      <c r="A43" t="inlineStr">
        <is>
          <t>A 12184-2023</t>
        </is>
      </c>
      <c r="B43" s="1" t="n">
        <v>44998</v>
      </c>
      <c r="C43" s="1" t="n">
        <v>45883</v>
      </c>
      <c r="D43" t="inlineStr">
        <is>
          <t>KRONOBERGS LÄN</t>
        </is>
      </c>
      <c r="E43" t="inlineStr">
        <is>
          <t>UPPVIDINGE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12184-2023 artfynd.xlsx", "A 12184-2023")</f>
        <v/>
      </c>
      <c r="T43">
        <f>HYPERLINK("https://klasma.github.io/Logging_0760/kartor/A 12184-2023 karta.png", "A 12184-2023")</f>
        <v/>
      </c>
      <c r="V43">
        <f>HYPERLINK("https://klasma.github.io/Logging_0760/klagomål/A 12184-2023 FSC-klagomål.docx", "A 12184-2023")</f>
        <v/>
      </c>
      <c r="W43">
        <f>HYPERLINK("https://klasma.github.io/Logging_0760/klagomålsmail/A 12184-2023 FSC-klagomål mail.docx", "A 12184-2023")</f>
        <v/>
      </c>
      <c r="X43">
        <f>HYPERLINK("https://klasma.github.io/Logging_0760/tillsyn/A 12184-2023 tillsynsbegäran.docx", "A 12184-2023")</f>
        <v/>
      </c>
      <c r="Y43">
        <f>HYPERLINK("https://klasma.github.io/Logging_0760/tillsynsmail/A 12184-2023 tillsynsbegäran mail.docx", "A 12184-2023")</f>
        <v/>
      </c>
    </row>
    <row r="44" ht="15" customHeight="1">
      <c r="A44" t="inlineStr">
        <is>
          <t>A 15676-2022</t>
        </is>
      </c>
      <c r="B44" s="1" t="n">
        <v>44663</v>
      </c>
      <c r="C44" s="1" t="n">
        <v>45883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15676-2022 artfynd.xlsx", "A 15676-2022")</f>
        <v/>
      </c>
      <c r="T44">
        <f>HYPERLINK("https://klasma.github.io/Logging_0760/kartor/A 15676-2022 karta.png", "A 15676-2022")</f>
        <v/>
      </c>
      <c r="U44">
        <f>HYPERLINK("https://klasma.github.io/Logging_0760/knärot/A 15676-2022 karta knärot.png", "A 15676-2022")</f>
        <v/>
      </c>
      <c r="V44">
        <f>HYPERLINK("https://klasma.github.io/Logging_0760/klagomål/A 15676-2022 FSC-klagomål.docx", "A 15676-2022")</f>
        <v/>
      </c>
      <c r="W44">
        <f>HYPERLINK("https://klasma.github.io/Logging_0760/klagomålsmail/A 15676-2022 FSC-klagomål mail.docx", "A 15676-2022")</f>
        <v/>
      </c>
      <c r="X44">
        <f>HYPERLINK("https://klasma.github.io/Logging_0760/tillsyn/A 15676-2022 tillsynsbegäran.docx", "A 15676-2022")</f>
        <v/>
      </c>
      <c r="Y44">
        <f>HYPERLINK("https://klasma.github.io/Logging_0760/tillsynsmail/A 15676-2022 tillsynsbegäran mail.docx", "A 15676-2022")</f>
        <v/>
      </c>
    </row>
    <row r="45" ht="15" customHeight="1">
      <c r="A45" t="inlineStr">
        <is>
          <t>A 28798-2025</t>
        </is>
      </c>
      <c r="B45" s="1" t="n">
        <v>45820.48319444444</v>
      </c>
      <c r="C45" s="1" t="n">
        <v>45883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HYPERLINK("https://klasma.github.io/Logging_0760/artfynd/A 28798-2025 artfynd.xlsx", "A 28798-2025")</f>
        <v/>
      </c>
      <c r="T45">
        <f>HYPERLINK("https://klasma.github.io/Logging_0760/kartor/A 28798-2025 karta.png", "A 28798-2025")</f>
        <v/>
      </c>
      <c r="V45">
        <f>HYPERLINK("https://klasma.github.io/Logging_0760/klagomål/A 28798-2025 FSC-klagomål.docx", "A 28798-2025")</f>
        <v/>
      </c>
      <c r="W45">
        <f>HYPERLINK("https://klasma.github.io/Logging_0760/klagomålsmail/A 28798-2025 FSC-klagomål mail.docx", "A 28798-2025")</f>
        <v/>
      </c>
      <c r="X45">
        <f>HYPERLINK("https://klasma.github.io/Logging_0760/tillsyn/A 28798-2025 tillsynsbegäran.docx", "A 28798-2025")</f>
        <v/>
      </c>
      <c r="Y45">
        <f>HYPERLINK("https://klasma.github.io/Logging_0760/tillsynsmail/A 28798-2025 tillsynsbegäran mail.docx", "A 28798-2025")</f>
        <v/>
      </c>
    </row>
    <row r="46" ht="15" customHeight="1">
      <c r="A46" t="inlineStr">
        <is>
          <t>A 29588-2025</t>
        </is>
      </c>
      <c r="B46" s="1" t="n">
        <v>45825</v>
      </c>
      <c r="C46" s="1" t="n">
        <v>45883</v>
      </c>
      <c r="D46" t="inlineStr">
        <is>
          <t>KRONOBERGS LÄN</t>
        </is>
      </c>
      <c r="E46" t="inlineStr">
        <is>
          <t>UPPVIDINGE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Pimpinellros</t>
        </is>
      </c>
      <c r="S46">
        <f>HYPERLINK("https://klasma.github.io/Logging_0760/artfynd/A 29588-2025 artfynd.xlsx", "A 29588-2025")</f>
        <v/>
      </c>
      <c r="T46">
        <f>HYPERLINK("https://klasma.github.io/Logging_0760/kartor/A 29588-2025 karta.png", "A 29588-2025")</f>
        <v/>
      </c>
      <c r="V46">
        <f>HYPERLINK("https://klasma.github.io/Logging_0760/klagomål/A 29588-2025 FSC-klagomål.docx", "A 29588-2025")</f>
        <v/>
      </c>
      <c r="W46">
        <f>HYPERLINK("https://klasma.github.io/Logging_0760/klagomålsmail/A 29588-2025 FSC-klagomål mail.docx", "A 29588-2025")</f>
        <v/>
      </c>
      <c r="X46">
        <f>HYPERLINK("https://klasma.github.io/Logging_0760/tillsyn/A 29588-2025 tillsynsbegäran.docx", "A 29588-2025")</f>
        <v/>
      </c>
      <c r="Y46">
        <f>HYPERLINK("https://klasma.github.io/Logging_0760/tillsynsmail/A 29588-2025 tillsynsbegäran mail.docx", "A 29588-2025")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45883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45883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45883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45883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45883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45883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40458-2020</t>
        </is>
      </c>
      <c r="B53" s="1" t="n">
        <v>44069</v>
      </c>
      <c r="C53" s="1" t="n">
        <v>45883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40463-2020</t>
        </is>
      </c>
      <c r="B54" s="1" t="n">
        <v>44069</v>
      </c>
      <c r="C54" s="1" t="n">
        <v>45883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40465-2020</t>
        </is>
      </c>
      <c r="B55" s="1" t="n">
        <v>44069</v>
      </c>
      <c r="C55" s="1" t="n">
        <v>45883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45883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45295-2020</t>
        </is>
      </c>
      <c r="B57" s="1" t="n">
        <v>44089</v>
      </c>
      <c r="C57" s="1" t="n">
        <v>45883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45883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45883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45883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45883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45883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40452-2020</t>
        </is>
      </c>
      <c r="B63" s="1" t="n">
        <v>44069</v>
      </c>
      <c r="C63" s="1" t="n">
        <v>45883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55322-2022</t>
        </is>
      </c>
      <c r="B64" s="1" t="n">
        <v>44887.42784722222</v>
      </c>
      <c r="C64" s="1" t="n">
        <v>45883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55324-2022</t>
        </is>
      </c>
      <c r="B65" s="1" t="n">
        <v>44887.42950231482</v>
      </c>
      <c r="C65" s="1" t="n">
        <v>45883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18753-2021</t>
        </is>
      </c>
      <c r="B66" s="1" t="n">
        <v>44307.45770833334</v>
      </c>
      <c r="C66" s="1" t="n">
        <v>45883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63305-2021</t>
        </is>
      </c>
      <c r="B67" s="1" t="n">
        <v>44508</v>
      </c>
      <c r="C67" s="1" t="n">
        <v>45883</v>
      </c>
      <c r="D67" t="inlineStr">
        <is>
          <t>KRONOBERGS LÄN</t>
        </is>
      </c>
      <c r="E67" t="inlineStr">
        <is>
          <t>UPPVIDINGE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66024-2020</t>
        </is>
      </c>
      <c r="B68" s="1" t="n">
        <v>44175</v>
      </c>
      <c r="C68" s="1" t="n">
        <v>45883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4743-2021</t>
        </is>
      </c>
      <c r="B69" s="1" t="n">
        <v>44225</v>
      </c>
      <c r="C69" s="1" t="n">
        <v>45883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480-2021</t>
        </is>
      </c>
      <c r="B70" s="1" t="n">
        <v>44201</v>
      </c>
      <c r="C70" s="1" t="n">
        <v>45883</v>
      </c>
      <c r="D70" t="inlineStr">
        <is>
          <t>KRONOBERGS LÄN</t>
        </is>
      </c>
      <c r="E70" t="inlineStr">
        <is>
          <t>UPPVIDINGE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482-2021</t>
        </is>
      </c>
      <c r="B71" s="1" t="n">
        <v>44201</v>
      </c>
      <c r="C71" s="1" t="n">
        <v>45883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483-2021</t>
        </is>
      </c>
      <c r="B72" s="1" t="n">
        <v>44201</v>
      </c>
      <c r="C72" s="1" t="n">
        <v>45883</v>
      </c>
      <c r="D72" t="inlineStr">
        <is>
          <t>KRONOBERGS LÄN</t>
        </is>
      </c>
      <c r="E72" t="inlineStr">
        <is>
          <t>UPPVIDINGE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15630-2021</t>
        </is>
      </c>
      <c r="B73" s="1" t="n">
        <v>44285</v>
      </c>
      <c r="C73" s="1" t="n">
        <v>45883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479-2021</t>
        </is>
      </c>
      <c r="B74" s="1" t="n">
        <v>44201</v>
      </c>
      <c r="C74" s="1" t="n">
        <v>45883</v>
      </c>
      <c r="D74" t="inlineStr">
        <is>
          <t>KRONOBERGS LÄN</t>
        </is>
      </c>
      <c r="E74" t="inlineStr">
        <is>
          <t>UPPVIDINGE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45883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57305-2021</t>
        </is>
      </c>
      <c r="B76" s="1" t="n">
        <v>44483.4240625</v>
      </c>
      <c r="C76" s="1" t="n">
        <v>45883</v>
      </c>
      <c r="D76" t="inlineStr">
        <is>
          <t>KRONOBERGS LÄN</t>
        </is>
      </c>
      <c r="E76" t="inlineStr">
        <is>
          <t>UPPVIDINGE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45883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4741-2021</t>
        </is>
      </c>
      <c r="B78" s="1" t="n">
        <v>44225</v>
      </c>
      <c r="C78" s="1" t="n">
        <v>45883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45883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632-2021</t>
        </is>
      </c>
      <c r="B80" s="1" t="n">
        <v>44202</v>
      </c>
      <c r="C80" s="1" t="n">
        <v>45883</v>
      </c>
      <c r="D80" t="inlineStr">
        <is>
          <t>KRONOBERGS LÄN</t>
        </is>
      </c>
      <c r="E80" t="inlineStr">
        <is>
          <t>UPPVIDINGE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44789-2020</t>
        </is>
      </c>
      <c r="B81" s="1" t="n">
        <v>44085</v>
      </c>
      <c r="C81" s="1" t="n">
        <v>45883</v>
      </c>
      <c r="D81" t="inlineStr">
        <is>
          <t>KRONOBERGS LÄN</t>
        </is>
      </c>
      <c r="E81" t="inlineStr">
        <is>
          <t>UPPVIDINGE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58109-2021</t>
        </is>
      </c>
      <c r="B82" s="1" t="n">
        <v>44487</v>
      </c>
      <c r="C82" s="1" t="n">
        <v>45883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7686-2021</t>
        </is>
      </c>
      <c r="B83" s="1" t="n">
        <v>44242</v>
      </c>
      <c r="C83" s="1" t="n">
        <v>45883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73660-2021</t>
        </is>
      </c>
      <c r="B84" s="1" t="n">
        <v>44552.45428240741</v>
      </c>
      <c r="C84" s="1" t="n">
        <v>45883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70324-2021</t>
        </is>
      </c>
      <c r="B85" s="1" t="n">
        <v>44536</v>
      </c>
      <c r="C85" s="1" t="n">
        <v>45883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51384-2021</t>
        </is>
      </c>
      <c r="B86" s="1" t="n">
        <v>44461.68690972222</v>
      </c>
      <c r="C86" s="1" t="n">
        <v>45883</v>
      </c>
      <c r="D86" t="inlineStr">
        <is>
          <t>KRONOBERGS LÄN</t>
        </is>
      </c>
      <c r="E86" t="inlineStr">
        <is>
          <t>UPPVIDINGE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1719-2022</t>
        </is>
      </c>
      <c r="B87" s="1" t="n">
        <v>44574.4577662037</v>
      </c>
      <c r="C87" s="1" t="n">
        <v>45883</v>
      </c>
      <c r="D87" t="inlineStr">
        <is>
          <t>KRONOBERGS LÄN</t>
        </is>
      </c>
      <c r="E87" t="inlineStr">
        <is>
          <t>UPPVIDINGE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64688-2021</t>
        </is>
      </c>
      <c r="B88" s="1" t="n">
        <v>44510</v>
      </c>
      <c r="C88" s="1" t="n">
        <v>45883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50143-2021</t>
        </is>
      </c>
      <c r="B89" s="1" t="n">
        <v>44456</v>
      </c>
      <c r="C89" s="1" t="n">
        <v>45883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25926-2022</t>
        </is>
      </c>
      <c r="B90" s="1" t="n">
        <v>44734.36189814815</v>
      </c>
      <c r="C90" s="1" t="n">
        <v>45883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54806-2020</t>
        </is>
      </c>
      <c r="B91" s="1" t="n">
        <v>44127</v>
      </c>
      <c r="C91" s="1" t="n">
        <v>45883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13371-2021</t>
        </is>
      </c>
      <c r="B92" s="1" t="n">
        <v>44273</v>
      </c>
      <c r="C92" s="1" t="n">
        <v>45883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22312-2021</t>
        </is>
      </c>
      <c r="B93" s="1" t="n">
        <v>44321</v>
      </c>
      <c r="C93" s="1" t="n">
        <v>45883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38267-2022</t>
        </is>
      </c>
      <c r="B94" s="1" t="n">
        <v>44812.51043981482</v>
      </c>
      <c r="C94" s="1" t="n">
        <v>45883</v>
      </c>
      <c r="D94" t="inlineStr">
        <is>
          <t>KRONOBERGS LÄN</t>
        </is>
      </c>
      <c r="E94" t="inlineStr">
        <is>
          <t>UPPVIDINGE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20852-2021</t>
        </is>
      </c>
      <c r="B95" s="1" t="n">
        <v>44319.33803240741</v>
      </c>
      <c r="C95" s="1" t="n">
        <v>45883</v>
      </c>
      <c r="D95" t="inlineStr">
        <is>
          <t>KRONOBERGS LÄN</t>
        </is>
      </c>
      <c r="E95" t="inlineStr">
        <is>
          <t>UPPVIDINGE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67427-2021</t>
        </is>
      </c>
      <c r="B96" s="1" t="n">
        <v>44524.32766203704</v>
      </c>
      <c r="C96" s="1" t="n">
        <v>45883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49720-2022</t>
        </is>
      </c>
      <c r="B97" s="1" t="n">
        <v>44859</v>
      </c>
      <c r="C97" s="1" t="n">
        <v>45883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66432-2020</t>
        </is>
      </c>
      <c r="B98" s="1" t="n">
        <v>44176.66133101852</v>
      </c>
      <c r="C98" s="1" t="n">
        <v>45883</v>
      </c>
      <c r="D98" t="inlineStr">
        <is>
          <t>KRONOBERGS LÄN</t>
        </is>
      </c>
      <c r="E98" t="inlineStr">
        <is>
          <t>UPPVIDINGE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5371-2021</t>
        </is>
      </c>
      <c r="B99" s="1" t="n">
        <v>44229</v>
      </c>
      <c r="C99" s="1" t="n">
        <v>45883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4750-2021</t>
        </is>
      </c>
      <c r="B100" s="1" t="n">
        <v>44225</v>
      </c>
      <c r="C100" s="1" t="n">
        <v>45883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1718-2022</t>
        </is>
      </c>
      <c r="B101" s="1" t="n">
        <v>44574.45553240741</v>
      </c>
      <c r="C101" s="1" t="n">
        <v>45883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63479-2020</t>
        </is>
      </c>
      <c r="B102" s="1" t="n">
        <v>44165</v>
      </c>
      <c r="C102" s="1" t="n">
        <v>45883</v>
      </c>
      <c r="D102" t="inlineStr">
        <is>
          <t>KRONOBERGS LÄN</t>
        </is>
      </c>
      <c r="E102" t="inlineStr">
        <is>
          <t>UPPVIDINGE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49748-2022</t>
        </is>
      </c>
      <c r="B103" s="1" t="n">
        <v>44859</v>
      </c>
      <c r="C103" s="1" t="n">
        <v>45883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11884-2021</t>
        </is>
      </c>
      <c r="B104" s="1" t="n">
        <v>44265.69087962963</v>
      </c>
      <c r="C104" s="1" t="n">
        <v>45883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14209-2021</t>
        </is>
      </c>
      <c r="B105" s="1" t="n">
        <v>44278</v>
      </c>
      <c r="C105" s="1" t="n">
        <v>45883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16968-2022</t>
        </is>
      </c>
      <c r="B106" s="1" t="n">
        <v>44676.551875</v>
      </c>
      <c r="C106" s="1" t="n">
        <v>45883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49715-2022</t>
        </is>
      </c>
      <c r="B107" s="1" t="n">
        <v>44859</v>
      </c>
      <c r="C107" s="1" t="n">
        <v>45883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49744-2022</t>
        </is>
      </c>
      <c r="B108" s="1" t="n">
        <v>44859</v>
      </c>
      <c r="C108" s="1" t="n">
        <v>45883</v>
      </c>
      <c r="D108" t="inlineStr">
        <is>
          <t>KRONOBERGS LÄN</t>
        </is>
      </c>
      <c r="E108" t="inlineStr">
        <is>
          <t>UPPVIDINGE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28767-2022</t>
        </is>
      </c>
      <c r="B109" s="1" t="n">
        <v>44749</v>
      </c>
      <c r="C109" s="1" t="n">
        <v>45883</v>
      </c>
      <c r="D109" t="inlineStr">
        <is>
          <t>KRONOBERGS LÄN</t>
        </is>
      </c>
      <c r="E109" t="inlineStr">
        <is>
          <t>UPPVIDINGE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1709-2022</t>
        </is>
      </c>
      <c r="B110" s="1" t="n">
        <v>44574.43967592593</v>
      </c>
      <c r="C110" s="1" t="n">
        <v>45883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6929-2022</t>
        </is>
      </c>
      <c r="B111" s="1" t="n">
        <v>44602</v>
      </c>
      <c r="C111" s="1" t="n">
        <v>45883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2666-2022</t>
        </is>
      </c>
      <c r="B112" s="1" t="n">
        <v>44580</v>
      </c>
      <c r="C112" s="1" t="n">
        <v>45883</v>
      </c>
      <c r="D112" t="inlineStr">
        <is>
          <t>KRONOBERGS LÄN</t>
        </is>
      </c>
      <c r="E112" t="inlineStr">
        <is>
          <t>UPPVIDINGE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3168-2021</t>
        </is>
      </c>
      <c r="B113" s="1" t="n">
        <v>44217</v>
      </c>
      <c r="C113" s="1" t="n">
        <v>45883</v>
      </c>
      <c r="D113" t="inlineStr">
        <is>
          <t>KRONOBERGS LÄN</t>
        </is>
      </c>
      <c r="E113" t="inlineStr">
        <is>
          <t>UPPVIDINGE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45202-2020</t>
        </is>
      </c>
      <c r="B114" s="1" t="n">
        <v>44088.78303240741</v>
      </c>
      <c r="C114" s="1" t="n">
        <v>45883</v>
      </c>
      <c r="D114" t="inlineStr">
        <is>
          <t>KRONOBERGS LÄN</t>
        </is>
      </c>
      <c r="E114" t="inlineStr">
        <is>
          <t>UPPVIDINGE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474-2021</t>
        </is>
      </c>
      <c r="B115" s="1" t="n">
        <v>44201</v>
      </c>
      <c r="C115" s="1" t="n">
        <v>45883</v>
      </c>
      <c r="D115" t="inlineStr">
        <is>
          <t>KRONOBERGS LÄN</t>
        </is>
      </c>
      <c r="E115" t="inlineStr">
        <is>
          <t>UPPVIDINGE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486-2021</t>
        </is>
      </c>
      <c r="B116" s="1" t="n">
        <v>44201</v>
      </c>
      <c r="C116" s="1" t="n">
        <v>45883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49706-2022</t>
        </is>
      </c>
      <c r="B117" s="1" t="n">
        <v>44859</v>
      </c>
      <c r="C117" s="1" t="n">
        <v>45883</v>
      </c>
      <c r="D117" t="inlineStr">
        <is>
          <t>KRONOBERGS LÄN</t>
        </is>
      </c>
      <c r="E117" t="inlineStr">
        <is>
          <t>UPPVIDINGE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6807-2022</t>
        </is>
      </c>
      <c r="B118" s="1" t="n">
        <v>44602.57726851852</v>
      </c>
      <c r="C118" s="1" t="n">
        <v>45883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19108-2021</t>
        </is>
      </c>
      <c r="B119" s="1" t="n">
        <v>44308</v>
      </c>
      <c r="C119" s="1" t="n">
        <v>45883</v>
      </c>
      <c r="D119" t="inlineStr">
        <is>
          <t>KRONOBERGS LÄN</t>
        </is>
      </c>
      <c r="E119" t="inlineStr">
        <is>
          <t>UPPVIDINGE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42865-2021</t>
        </is>
      </c>
      <c r="B120" s="1" t="n">
        <v>44430.93283564815</v>
      </c>
      <c r="C120" s="1" t="n">
        <v>45883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45883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34669-2022</t>
        </is>
      </c>
      <c r="B122" s="1" t="n">
        <v>44795.48144675926</v>
      </c>
      <c r="C122" s="1" t="n">
        <v>45883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30111-2022</t>
        </is>
      </c>
      <c r="B123" s="1" t="n">
        <v>44757.40570601852</v>
      </c>
      <c r="C123" s="1" t="n">
        <v>45883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54329-2020</t>
        </is>
      </c>
      <c r="B124" s="1" t="n">
        <v>44124</v>
      </c>
      <c r="C124" s="1" t="n">
        <v>45883</v>
      </c>
      <c r="D124" t="inlineStr">
        <is>
          <t>KRONOBERGS LÄN</t>
        </is>
      </c>
      <c r="E124" t="inlineStr">
        <is>
          <t>UPPVIDINGE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4977-2021</t>
        </is>
      </c>
      <c r="B125" s="1" t="n">
        <v>44228</v>
      </c>
      <c r="C125" s="1" t="n">
        <v>45883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4700-2021</t>
        </is>
      </c>
      <c r="B126" s="1" t="n">
        <v>44225</v>
      </c>
      <c r="C126" s="1" t="n">
        <v>45883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4987-2021</t>
        </is>
      </c>
      <c r="B127" s="1" t="n">
        <v>44228</v>
      </c>
      <c r="C127" s="1" t="n">
        <v>45883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4739-2021</t>
        </is>
      </c>
      <c r="B128" s="1" t="n">
        <v>44225</v>
      </c>
      <c r="C128" s="1" t="n">
        <v>45883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55325-2022</t>
        </is>
      </c>
      <c r="B129" s="1" t="n">
        <v>44887.43138888889</v>
      </c>
      <c r="C129" s="1" t="n">
        <v>45883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4234-2022</t>
        </is>
      </c>
      <c r="B130" s="1" t="n">
        <v>44588.6396875</v>
      </c>
      <c r="C130" s="1" t="n">
        <v>45883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45109-2020</t>
        </is>
      </c>
      <c r="B131" s="1" t="n">
        <v>44088</v>
      </c>
      <c r="C131" s="1" t="n">
        <v>45883</v>
      </c>
      <c r="D131" t="inlineStr">
        <is>
          <t>KRONOBERGS LÄN</t>
        </is>
      </c>
      <c r="E131" t="inlineStr">
        <is>
          <t>UPPVIDINGE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63060-2021</t>
        </is>
      </c>
      <c r="B132" s="1" t="n">
        <v>44505</v>
      </c>
      <c r="C132" s="1" t="n">
        <v>45883</v>
      </c>
      <c r="D132" t="inlineStr">
        <is>
          <t>KRONOBERGS LÄN</t>
        </is>
      </c>
      <c r="E132" t="inlineStr">
        <is>
          <t>UPPVIDINGE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50141-2021</t>
        </is>
      </c>
      <c r="B133" s="1" t="n">
        <v>44456</v>
      </c>
      <c r="C133" s="1" t="n">
        <v>45883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40475-2020</t>
        </is>
      </c>
      <c r="B134" s="1" t="n">
        <v>44069</v>
      </c>
      <c r="C134" s="1" t="n">
        <v>45883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44121-2021</t>
        </is>
      </c>
      <c r="B135" s="1" t="n">
        <v>44434</v>
      </c>
      <c r="C135" s="1" t="n">
        <v>45883</v>
      </c>
      <c r="D135" t="inlineStr">
        <is>
          <t>KRONOBERGS LÄN</t>
        </is>
      </c>
      <c r="E135" t="inlineStr">
        <is>
          <t>UPPVIDINGE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32701-2021</t>
        </is>
      </c>
      <c r="B136" s="1" t="n">
        <v>44375</v>
      </c>
      <c r="C136" s="1" t="n">
        <v>45883</v>
      </c>
      <c r="D136" t="inlineStr">
        <is>
          <t>KRONOBERGS LÄN</t>
        </is>
      </c>
      <c r="E136" t="inlineStr">
        <is>
          <t>UPPVIDINGE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923-2021</t>
        </is>
      </c>
      <c r="B137" s="1" t="n">
        <v>44207</v>
      </c>
      <c r="C137" s="1" t="n">
        <v>45883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45883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32764-2021</t>
        </is>
      </c>
      <c r="B139" s="1" t="n">
        <v>44375</v>
      </c>
      <c r="C139" s="1" t="n">
        <v>45883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12689-2021</t>
        </is>
      </c>
      <c r="B140" s="1" t="n">
        <v>44270.5584375</v>
      </c>
      <c r="C140" s="1" t="n">
        <v>45883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30611-2021</t>
        </is>
      </c>
      <c r="B141" s="1" t="n">
        <v>44364</v>
      </c>
      <c r="C141" s="1" t="n">
        <v>45883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61491-2021</t>
        </is>
      </c>
      <c r="B142" s="1" t="n">
        <v>44497</v>
      </c>
      <c r="C142" s="1" t="n">
        <v>45883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73661-2021</t>
        </is>
      </c>
      <c r="B143" s="1" t="n">
        <v>44552.45563657407</v>
      </c>
      <c r="C143" s="1" t="n">
        <v>45883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476-2021</t>
        </is>
      </c>
      <c r="B144" s="1" t="n">
        <v>44201</v>
      </c>
      <c r="C144" s="1" t="n">
        <v>45883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62479-2021</t>
        </is>
      </c>
      <c r="B145" s="1" t="n">
        <v>44503</v>
      </c>
      <c r="C145" s="1" t="n">
        <v>45883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57470-2021</t>
        </is>
      </c>
      <c r="B146" s="1" t="n">
        <v>44483.66988425926</v>
      </c>
      <c r="C146" s="1" t="n">
        <v>45883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57471-2021</t>
        </is>
      </c>
      <c r="B147" s="1" t="n">
        <v>44483.67144675926</v>
      </c>
      <c r="C147" s="1" t="n">
        <v>45883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32736-2021</t>
        </is>
      </c>
      <c r="B148" s="1" t="n">
        <v>44375</v>
      </c>
      <c r="C148" s="1" t="n">
        <v>45883</v>
      </c>
      <c r="D148" t="inlineStr">
        <is>
          <t>KRONOBERGS LÄN</t>
        </is>
      </c>
      <c r="E148" t="inlineStr">
        <is>
          <t>UPPVIDINGE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55353-2021</t>
        </is>
      </c>
      <c r="B149" s="1" t="n">
        <v>44475</v>
      </c>
      <c r="C149" s="1" t="n">
        <v>45883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64679-2021</t>
        </is>
      </c>
      <c r="B150" s="1" t="n">
        <v>44510</v>
      </c>
      <c r="C150" s="1" t="n">
        <v>45883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45883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40487-2021</t>
        </is>
      </c>
      <c r="B152" s="1" t="n">
        <v>44420.28219907408</v>
      </c>
      <c r="C152" s="1" t="n">
        <v>45883</v>
      </c>
      <c r="D152" t="inlineStr">
        <is>
          <t>KRONOBERGS LÄN</t>
        </is>
      </c>
      <c r="E152" t="inlineStr">
        <is>
          <t>UPPVIDINGE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52509-2021</t>
        </is>
      </c>
      <c r="B153" s="1" t="n">
        <v>44466</v>
      </c>
      <c r="C153" s="1" t="n">
        <v>45883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6923-2022</t>
        </is>
      </c>
      <c r="B154" s="1" t="n">
        <v>44603</v>
      </c>
      <c r="C154" s="1" t="n">
        <v>45883</v>
      </c>
      <c r="D154" t="inlineStr">
        <is>
          <t>KRONOBERGS LÄN</t>
        </is>
      </c>
      <c r="E154" t="inlineStr">
        <is>
          <t>UPPVIDINGE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6924-2022</t>
        </is>
      </c>
      <c r="B155" s="1" t="n">
        <v>44602</v>
      </c>
      <c r="C155" s="1" t="n">
        <v>45883</v>
      </c>
      <c r="D155" t="inlineStr">
        <is>
          <t>KRONOBERGS LÄN</t>
        </is>
      </c>
      <c r="E155" t="inlineStr">
        <is>
          <t>UPPVIDINGE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41412-2020</t>
        </is>
      </c>
      <c r="B156" s="1" t="n">
        <v>44073</v>
      </c>
      <c r="C156" s="1" t="n">
        <v>45883</v>
      </c>
      <c r="D156" t="inlineStr">
        <is>
          <t>KRONOBERGS LÄN</t>
        </is>
      </c>
      <c r="E156" t="inlineStr">
        <is>
          <t>UPPVIDINGE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67493-2021</t>
        </is>
      </c>
      <c r="B157" s="1" t="n">
        <v>44524.46141203704</v>
      </c>
      <c r="C157" s="1" t="n">
        <v>45883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18896-2022</t>
        </is>
      </c>
      <c r="B158" s="1" t="n">
        <v>44690</v>
      </c>
      <c r="C158" s="1" t="n">
        <v>45883</v>
      </c>
      <c r="D158" t="inlineStr">
        <is>
          <t>KRONOBERGS LÄN</t>
        </is>
      </c>
      <c r="E158" t="inlineStr">
        <is>
          <t>UPPVIDINGE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23463-2022</t>
        </is>
      </c>
      <c r="B159" s="1" t="n">
        <v>44721.32116898148</v>
      </c>
      <c r="C159" s="1" t="n">
        <v>45883</v>
      </c>
      <c r="D159" t="inlineStr">
        <is>
          <t>KRONOBERGS LÄN</t>
        </is>
      </c>
      <c r="E159" t="inlineStr">
        <is>
          <t>UPPVIDINGE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41316-2021</t>
        </is>
      </c>
      <c r="B160" s="1" t="n">
        <v>44424.57810185185</v>
      </c>
      <c r="C160" s="1" t="n">
        <v>45883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40464-2020</t>
        </is>
      </c>
      <c r="B161" s="1" t="n">
        <v>44069</v>
      </c>
      <c r="C161" s="1" t="n">
        <v>45883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17851-2022</t>
        </is>
      </c>
      <c r="B162" s="1" t="n">
        <v>44683.46200231482</v>
      </c>
      <c r="C162" s="1" t="n">
        <v>45883</v>
      </c>
      <c r="D162" t="inlineStr">
        <is>
          <t>KRONOBERGS LÄN</t>
        </is>
      </c>
      <c r="E162" t="inlineStr">
        <is>
          <t>UPPVIDINGE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18475-2022</t>
        </is>
      </c>
      <c r="B163" s="1" t="n">
        <v>44686</v>
      </c>
      <c r="C163" s="1" t="n">
        <v>45883</v>
      </c>
      <c r="D163" t="inlineStr">
        <is>
          <t>KRONOBERGS LÄN</t>
        </is>
      </c>
      <c r="E163" t="inlineStr">
        <is>
          <t>UPPVIDINGE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8006-2022</t>
        </is>
      </c>
      <c r="B164" s="1" t="n">
        <v>44607</v>
      </c>
      <c r="C164" s="1" t="n">
        <v>45883</v>
      </c>
      <c r="D164" t="inlineStr">
        <is>
          <t>KRONOBERGS LÄN</t>
        </is>
      </c>
      <c r="E164" t="inlineStr">
        <is>
          <t>UPPVIDINGE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8013-2022</t>
        </is>
      </c>
      <c r="B165" s="1" t="n">
        <v>44607</v>
      </c>
      <c r="C165" s="1" t="n">
        <v>45883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55316-2022</t>
        </is>
      </c>
      <c r="B166" s="1" t="n">
        <v>44887.42283564815</v>
      </c>
      <c r="C166" s="1" t="n">
        <v>45883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55320-2022</t>
        </is>
      </c>
      <c r="B167" s="1" t="n">
        <v>44887.42663194444</v>
      </c>
      <c r="C167" s="1" t="n">
        <v>45883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59281-2021</t>
        </is>
      </c>
      <c r="B168" s="1" t="n">
        <v>44490.74336805556</v>
      </c>
      <c r="C168" s="1" t="n">
        <v>45883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50307-2021</t>
        </is>
      </c>
      <c r="B169" s="1" t="n">
        <v>44459</v>
      </c>
      <c r="C169" s="1" t="n">
        <v>45883</v>
      </c>
      <c r="D169" t="inlineStr">
        <is>
          <t>KRONOBERGS LÄN</t>
        </is>
      </c>
      <c r="E169" t="inlineStr">
        <is>
          <t>UPPVIDINGE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16970-2022</t>
        </is>
      </c>
      <c r="B170" s="1" t="n">
        <v>44676.56075231481</v>
      </c>
      <c r="C170" s="1" t="n">
        <v>45883</v>
      </c>
      <c r="D170" t="inlineStr">
        <is>
          <t>KRONOBERGS LÄN</t>
        </is>
      </c>
      <c r="E170" t="inlineStr">
        <is>
          <t>UPPVIDINGE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33108-2021</t>
        </is>
      </c>
      <c r="B171" s="1" t="n">
        <v>44376</v>
      </c>
      <c r="C171" s="1" t="n">
        <v>45883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53002-2020</t>
        </is>
      </c>
      <c r="B172" s="1" t="n">
        <v>44119</v>
      </c>
      <c r="C172" s="1" t="n">
        <v>45883</v>
      </c>
      <c r="D172" t="inlineStr">
        <is>
          <t>KRONOBERGS LÄN</t>
        </is>
      </c>
      <c r="E172" t="inlineStr">
        <is>
          <t>UPPVIDINGE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69586-2021</t>
        </is>
      </c>
      <c r="B173" s="1" t="n">
        <v>44531</v>
      </c>
      <c r="C173" s="1" t="n">
        <v>45883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9482-2021</t>
        </is>
      </c>
      <c r="B174" s="1" t="n">
        <v>44250</v>
      </c>
      <c r="C174" s="1" t="n">
        <v>45883</v>
      </c>
      <c r="D174" t="inlineStr">
        <is>
          <t>KRONOBERGS LÄN</t>
        </is>
      </c>
      <c r="E174" t="inlineStr">
        <is>
          <t>UPPVIDINGE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54820-2020</t>
        </is>
      </c>
      <c r="B175" s="1" t="n">
        <v>44127</v>
      </c>
      <c r="C175" s="1" t="n">
        <v>45883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2475-2021</t>
        </is>
      </c>
      <c r="B176" s="1" t="n">
        <v>44214</v>
      </c>
      <c r="C176" s="1" t="n">
        <v>45883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6622-2022</t>
        </is>
      </c>
      <c r="B177" s="1" t="n">
        <v>44601.75174768519</v>
      </c>
      <c r="C177" s="1" t="n">
        <v>45883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41314-2021</t>
        </is>
      </c>
      <c r="B178" s="1" t="n">
        <v>44424.57476851852</v>
      </c>
      <c r="C178" s="1" t="n">
        <v>45883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54355-2021</t>
        </is>
      </c>
      <c r="B179" s="1" t="n">
        <v>44470</v>
      </c>
      <c r="C179" s="1" t="n">
        <v>45883</v>
      </c>
      <c r="D179" t="inlineStr">
        <is>
          <t>KRONOBERGS LÄN</t>
        </is>
      </c>
      <c r="E179" t="inlineStr">
        <is>
          <t>UPPVIDINGE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55545-2021</t>
        </is>
      </c>
      <c r="B180" s="1" t="n">
        <v>44475.66188657407</v>
      </c>
      <c r="C180" s="1" t="n">
        <v>45883</v>
      </c>
      <c r="D180" t="inlineStr">
        <is>
          <t>KRONOBERGS LÄN</t>
        </is>
      </c>
      <c r="E180" t="inlineStr">
        <is>
          <t>UPPVIDINGE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48273-2022</t>
        </is>
      </c>
      <c r="B181" s="1" t="n">
        <v>44858.49122685185</v>
      </c>
      <c r="C181" s="1" t="n">
        <v>45883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25199-2022</t>
        </is>
      </c>
      <c r="B182" s="1" t="n">
        <v>44729.65407407407</v>
      </c>
      <c r="C182" s="1" t="n">
        <v>45883</v>
      </c>
      <c r="D182" t="inlineStr">
        <is>
          <t>KRONOBERGS LÄN</t>
        </is>
      </c>
      <c r="E182" t="inlineStr">
        <is>
          <t>UPPVIDINGE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1689-2022</t>
        </is>
      </c>
      <c r="B183" s="1" t="n">
        <v>44574</v>
      </c>
      <c r="C183" s="1" t="n">
        <v>45883</v>
      </c>
      <c r="D183" t="inlineStr">
        <is>
          <t>KRONOBERGS LÄN</t>
        </is>
      </c>
      <c r="E183" t="inlineStr">
        <is>
          <t>UPPVIDINGE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40364-2020</t>
        </is>
      </c>
      <c r="B184" s="1" t="n">
        <v>44068</v>
      </c>
      <c r="C184" s="1" t="n">
        <v>45883</v>
      </c>
      <c r="D184" t="inlineStr">
        <is>
          <t>KRONOBERGS LÄN</t>
        </is>
      </c>
      <c r="E184" t="inlineStr">
        <is>
          <t>UPPVIDINGE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33348-2022</t>
        </is>
      </c>
      <c r="B185" s="1" t="n">
        <v>44788.47552083333</v>
      </c>
      <c r="C185" s="1" t="n">
        <v>45883</v>
      </c>
      <c r="D185" t="inlineStr">
        <is>
          <t>KRONOBERGS LÄN</t>
        </is>
      </c>
      <c r="E185" t="inlineStr">
        <is>
          <t>UPPVIDINGE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6771-2022</t>
        </is>
      </c>
      <c r="B186" s="1" t="n">
        <v>44602.51873842593</v>
      </c>
      <c r="C186" s="1" t="n">
        <v>45883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15176-2021</t>
        </is>
      </c>
      <c r="B187" s="1" t="n">
        <v>44284</v>
      </c>
      <c r="C187" s="1" t="n">
        <v>45883</v>
      </c>
      <c r="D187" t="inlineStr">
        <is>
          <t>KRONOBERGS LÄN</t>
        </is>
      </c>
      <c r="E187" t="inlineStr">
        <is>
          <t>UPPVIDINGE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66032-2020</t>
        </is>
      </c>
      <c r="B188" s="1" t="n">
        <v>44175</v>
      </c>
      <c r="C188" s="1" t="n">
        <v>45883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36141-2022</t>
        </is>
      </c>
      <c r="B189" s="1" t="n">
        <v>44803.35861111111</v>
      </c>
      <c r="C189" s="1" t="n">
        <v>45883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55317-2022</t>
        </is>
      </c>
      <c r="B190" s="1" t="n">
        <v>44887.42521990741</v>
      </c>
      <c r="C190" s="1" t="n">
        <v>45883</v>
      </c>
      <c r="D190" t="inlineStr">
        <is>
          <t>KRONOBERGS LÄN</t>
        </is>
      </c>
      <c r="E190" t="inlineStr">
        <is>
          <t>UPPVIDINGE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6926-2022</t>
        </is>
      </c>
      <c r="B191" s="1" t="n">
        <v>44602</v>
      </c>
      <c r="C191" s="1" t="n">
        <v>45883</v>
      </c>
      <c r="D191" t="inlineStr">
        <is>
          <t>KRONOBERGS LÄN</t>
        </is>
      </c>
      <c r="E191" t="inlineStr">
        <is>
          <t>UPPVIDINGE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36854-2021</t>
        </is>
      </c>
      <c r="B192" s="1" t="n">
        <v>44393</v>
      </c>
      <c r="C192" s="1" t="n">
        <v>45883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25799-2021</t>
        </is>
      </c>
      <c r="B193" s="1" t="n">
        <v>44343.88627314815</v>
      </c>
      <c r="C193" s="1" t="n">
        <v>45883</v>
      </c>
      <c r="D193" t="inlineStr">
        <is>
          <t>KRONOBERGS LÄN</t>
        </is>
      </c>
      <c r="E193" t="inlineStr">
        <is>
          <t>UPPVIDINGE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21250-2022</t>
        </is>
      </c>
      <c r="B194" s="1" t="n">
        <v>44705</v>
      </c>
      <c r="C194" s="1" t="n">
        <v>45883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4693-2022</t>
        </is>
      </c>
      <c r="B195" s="1" t="n">
        <v>44592.48909722222</v>
      </c>
      <c r="C195" s="1" t="n">
        <v>45883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53050-2020</t>
        </is>
      </c>
      <c r="B196" s="1" t="n">
        <v>44120</v>
      </c>
      <c r="C196" s="1" t="n">
        <v>45883</v>
      </c>
      <c r="D196" t="inlineStr">
        <is>
          <t>KRONOBERGS LÄN</t>
        </is>
      </c>
      <c r="E196" t="inlineStr">
        <is>
          <t>UPPVIDINGE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21867-2022</t>
        </is>
      </c>
      <c r="B197" s="1" t="n">
        <v>44711.38366898148</v>
      </c>
      <c r="C197" s="1" t="n">
        <v>45883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42004-2020</t>
        </is>
      </c>
      <c r="B198" s="1" t="n">
        <v>44074</v>
      </c>
      <c r="C198" s="1" t="n">
        <v>45883</v>
      </c>
      <c r="D198" t="inlineStr">
        <is>
          <t>KRONOBERGS LÄN</t>
        </is>
      </c>
      <c r="E198" t="inlineStr">
        <is>
          <t>UPPVIDINGE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38334-2021</t>
        </is>
      </c>
      <c r="B199" s="1" t="n">
        <v>44406</v>
      </c>
      <c r="C199" s="1" t="n">
        <v>45883</v>
      </c>
      <c r="D199" t="inlineStr">
        <is>
          <t>KRONOBERGS LÄN</t>
        </is>
      </c>
      <c r="E199" t="inlineStr">
        <is>
          <t>UPPVIDINGE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16348-2023</t>
        </is>
      </c>
      <c r="B200" s="1" t="n">
        <v>45028</v>
      </c>
      <c r="C200" s="1" t="n">
        <v>45883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8299-2022</t>
        </is>
      </c>
      <c r="B201" s="1" t="n">
        <v>44610</v>
      </c>
      <c r="C201" s="1" t="n">
        <v>45883</v>
      </c>
      <c r="D201" t="inlineStr">
        <is>
          <t>KRONOBERGS LÄN</t>
        </is>
      </c>
      <c r="E201" t="inlineStr">
        <is>
          <t>UPPVIDINGE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8092-2022</t>
        </is>
      </c>
      <c r="B202" s="1" t="n">
        <v>44609</v>
      </c>
      <c r="C202" s="1" t="n">
        <v>45883</v>
      </c>
      <c r="D202" t="inlineStr">
        <is>
          <t>KRONOBERGS LÄN</t>
        </is>
      </c>
      <c r="E202" t="inlineStr">
        <is>
          <t>UPPVIDINGE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41413-2020</t>
        </is>
      </c>
      <c r="B203" s="1" t="n">
        <v>44073</v>
      </c>
      <c r="C203" s="1" t="n">
        <v>45883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8408-2025</t>
        </is>
      </c>
      <c r="B204" s="1" t="n">
        <v>45709.38748842593</v>
      </c>
      <c r="C204" s="1" t="n">
        <v>45883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8411-2025</t>
        </is>
      </c>
      <c r="B205" s="1" t="n">
        <v>45709.39251157407</v>
      </c>
      <c r="C205" s="1" t="n">
        <v>45883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26196-2023</t>
        </is>
      </c>
      <c r="B206" s="1" t="n">
        <v>45091</v>
      </c>
      <c r="C206" s="1" t="n">
        <v>45883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8405-2025</t>
        </is>
      </c>
      <c r="B207" s="1" t="n">
        <v>45709.38243055555</v>
      </c>
      <c r="C207" s="1" t="n">
        <v>45883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45287-2020</t>
        </is>
      </c>
      <c r="B208" s="1" t="n">
        <v>44089.35622685185</v>
      </c>
      <c r="C208" s="1" t="n">
        <v>45883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66981-2021</t>
        </is>
      </c>
      <c r="B209" s="1" t="n">
        <v>44522.60883101852</v>
      </c>
      <c r="C209" s="1" t="n">
        <v>45883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13817-2021</t>
        </is>
      </c>
      <c r="B210" s="1" t="n">
        <v>44276</v>
      </c>
      <c r="C210" s="1" t="n">
        <v>45883</v>
      </c>
      <c r="D210" t="inlineStr">
        <is>
          <t>KRONOBERGS LÄN</t>
        </is>
      </c>
      <c r="E210" t="inlineStr">
        <is>
          <t>UPPVIDINGE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44746-2023</t>
        </is>
      </c>
      <c r="B211" s="1" t="n">
        <v>45190.39688657408</v>
      </c>
      <c r="C211" s="1" t="n">
        <v>45883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6325-2024</t>
        </is>
      </c>
      <c r="B212" s="1" t="n">
        <v>45338</v>
      </c>
      <c r="C212" s="1" t="n">
        <v>45883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6329-2024</t>
        </is>
      </c>
      <c r="B213" s="1" t="n">
        <v>45338</v>
      </c>
      <c r="C213" s="1" t="n">
        <v>45883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32692-2021</t>
        </is>
      </c>
      <c r="B214" s="1" t="n">
        <v>44375</v>
      </c>
      <c r="C214" s="1" t="n">
        <v>45883</v>
      </c>
      <c r="D214" t="inlineStr">
        <is>
          <t>KRONOBERGS LÄN</t>
        </is>
      </c>
      <c r="E214" t="inlineStr">
        <is>
          <t>UPPVIDINGE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5273-2025</t>
        </is>
      </c>
      <c r="B215" s="1" t="n">
        <v>45692</v>
      </c>
      <c r="C215" s="1" t="n">
        <v>45883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39638-2020</t>
        </is>
      </c>
      <c r="B216" s="1" t="n">
        <v>44064</v>
      </c>
      <c r="C216" s="1" t="n">
        <v>45883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62559-2022</t>
        </is>
      </c>
      <c r="B217" s="1" t="n">
        <v>44924.77766203704</v>
      </c>
      <c r="C217" s="1" t="n">
        <v>45883</v>
      </c>
      <c r="D217" t="inlineStr">
        <is>
          <t>KRONOBERGS LÄN</t>
        </is>
      </c>
      <c r="E217" t="inlineStr">
        <is>
          <t>UPPVIDINGE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5853-2024</t>
        </is>
      </c>
      <c r="B218" s="1" t="n">
        <v>45335.63689814815</v>
      </c>
      <c r="C218" s="1" t="n">
        <v>45883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6611-2024</t>
        </is>
      </c>
      <c r="B219" s="1" t="n">
        <v>45341.58440972222</v>
      </c>
      <c r="C219" s="1" t="n">
        <v>45883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32488-2021</t>
        </is>
      </c>
      <c r="B220" s="1" t="n">
        <v>44371</v>
      </c>
      <c r="C220" s="1" t="n">
        <v>45883</v>
      </c>
      <c r="D220" t="inlineStr">
        <is>
          <t>KRONOBERGS LÄN</t>
        </is>
      </c>
      <c r="E220" t="inlineStr">
        <is>
          <t>UPPVIDINGE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9855-2021</t>
        </is>
      </c>
      <c r="B221" s="1" t="n">
        <v>44253</v>
      </c>
      <c r="C221" s="1" t="n">
        <v>45883</v>
      </c>
      <c r="D221" t="inlineStr">
        <is>
          <t>KRONOBERGS LÄN</t>
        </is>
      </c>
      <c r="E221" t="inlineStr">
        <is>
          <t>UPPVIDINGE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34734-2022</t>
        </is>
      </c>
      <c r="B222" s="1" t="n">
        <v>44795.60174768518</v>
      </c>
      <c r="C222" s="1" t="n">
        <v>45883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34735-2022</t>
        </is>
      </c>
      <c r="B223" s="1" t="n">
        <v>44795.60293981482</v>
      </c>
      <c r="C223" s="1" t="n">
        <v>45883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31516-2021</t>
        </is>
      </c>
      <c r="B224" s="1" t="n">
        <v>44369.46261574074</v>
      </c>
      <c r="C224" s="1" t="n">
        <v>45883</v>
      </c>
      <c r="D224" t="inlineStr">
        <is>
          <t>KRONOBERGS LÄN</t>
        </is>
      </c>
      <c r="E224" t="inlineStr">
        <is>
          <t>UPPVIDINGE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24058-2021</t>
        </is>
      </c>
      <c r="B225" s="1" t="n">
        <v>44336.39239583333</v>
      </c>
      <c r="C225" s="1" t="n">
        <v>45883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7623-2021</t>
        </is>
      </c>
      <c r="B226" s="1" t="n">
        <v>44242</v>
      </c>
      <c r="C226" s="1" t="n">
        <v>45883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48162-2020</t>
        </is>
      </c>
      <c r="B227" s="1" t="n">
        <v>44102</v>
      </c>
      <c r="C227" s="1" t="n">
        <v>45883</v>
      </c>
      <c r="D227" t="inlineStr">
        <is>
          <t>KRONOBERGS LÄN</t>
        </is>
      </c>
      <c r="E227" t="inlineStr">
        <is>
          <t>UPPVIDINGE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22845-2021</t>
        </is>
      </c>
      <c r="B228" s="1" t="n">
        <v>44328.41473379629</v>
      </c>
      <c r="C228" s="1" t="n">
        <v>45883</v>
      </c>
      <c r="D228" t="inlineStr">
        <is>
          <t>KRONOBERGS LÄN</t>
        </is>
      </c>
      <c r="E228" t="inlineStr">
        <is>
          <t>UPPVIDINGE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6106-2025</t>
        </is>
      </c>
      <c r="B229" s="1" t="n">
        <v>45697.97704861111</v>
      </c>
      <c r="C229" s="1" t="n">
        <v>45883</v>
      </c>
      <c r="D229" t="inlineStr">
        <is>
          <t>KRONOBERGS LÄN</t>
        </is>
      </c>
      <c r="E229" t="inlineStr">
        <is>
          <t>UPPVIDINGE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3153-2022</t>
        </is>
      </c>
      <c r="B230" s="1" t="n">
        <v>44582</v>
      </c>
      <c r="C230" s="1" t="n">
        <v>45883</v>
      </c>
      <c r="D230" t="inlineStr">
        <is>
          <t>KRONOBERGS LÄN</t>
        </is>
      </c>
      <c r="E230" t="inlineStr">
        <is>
          <t>UPPVIDINGE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12961-2024</t>
        </is>
      </c>
      <c r="B231" s="1" t="n">
        <v>45385.49137731481</v>
      </c>
      <c r="C231" s="1" t="n">
        <v>45883</v>
      </c>
      <c r="D231" t="inlineStr">
        <is>
          <t>KRONOBERGS LÄN</t>
        </is>
      </c>
      <c r="E231" t="inlineStr">
        <is>
          <t>UPPVIDINGE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43549-2022</t>
        </is>
      </c>
      <c r="B232" s="1" t="n">
        <v>44837.43361111111</v>
      </c>
      <c r="C232" s="1" t="n">
        <v>45883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18309-2023</t>
        </is>
      </c>
      <c r="B233" s="1" t="n">
        <v>45041.59671296296</v>
      </c>
      <c r="C233" s="1" t="n">
        <v>45883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18310-2023</t>
        </is>
      </c>
      <c r="B234" s="1" t="n">
        <v>45041</v>
      </c>
      <c r="C234" s="1" t="n">
        <v>45883</v>
      </c>
      <c r="D234" t="inlineStr">
        <is>
          <t>KRONOBERGS LÄN</t>
        </is>
      </c>
      <c r="E234" t="inlineStr">
        <is>
          <t>UPPVIDINGE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59278-2024</t>
        </is>
      </c>
      <c r="B235" s="1" t="n">
        <v>45637.63881944444</v>
      </c>
      <c r="C235" s="1" t="n">
        <v>45883</v>
      </c>
      <c r="D235" t="inlineStr">
        <is>
          <t>KRONOBERGS LÄN</t>
        </is>
      </c>
      <c r="E235" t="inlineStr">
        <is>
          <t>UPPVIDINGE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19989-2021</t>
        </is>
      </c>
      <c r="B236" s="1" t="n">
        <v>44308</v>
      </c>
      <c r="C236" s="1" t="n">
        <v>45883</v>
      </c>
      <c r="D236" t="inlineStr">
        <is>
          <t>KRONOBERGS LÄN</t>
        </is>
      </c>
      <c r="E236" t="inlineStr">
        <is>
          <t>UPPVIDINGE</t>
        </is>
      </c>
      <c r="G236" t="n">
        <v>32.4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51214-2023</t>
        </is>
      </c>
      <c r="B237" s="1" t="n">
        <v>45219.44987268518</v>
      </c>
      <c r="C237" s="1" t="n">
        <v>45883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6323-2024</t>
        </is>
      </c>
      <c r="B238" s="1" t="n">
        <v>45338</v>
      </c>
      <c r="C238" s="1" t="n">
        <v>45883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6330-2024</t>
        </is>
      </c>
      <c r="B239" s="1" t="n">
        <v>45338</v>
      </c>
      <c r="C239" s="1" t="n">
        <v>45883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6333-2024</t>
        </is>
      </c>
      <c r="B240" s="1" t="n">
        <v>45338</v>
      </c>
      <c r="C240" s="1" t="n">
        <v>45883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49724-2022</t>
        </is>
      </c>
      <c r="B241" s="1" t="n">
        <v>44859</v>
      </c>
      <c r="C241" s="1" t="n">
        <v>45883</v>
      </c>
      <c r="D241" t="inlineStr">
        <is>
          <t>KRONOBERGS LÄN</t>
        </is>
      </c>
      <c r="E241" t="inlineStr">
        <is>
          <t>UPPVIDINGE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61792-2020</t>
        </is>
      </c>
      <c r="B242" s="1" t="n">
        <v>44158</v>
      </c>
      <c r="C242" s="1" t="n">
        <v>45883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38777-2021</t>
        </is>
      </c>
      <c r="B243" s="1" t="n">
        <v>44410</v>
      </c>
      <c r="C243" s="1" t="n">
        <v>45883</v>
      </c>
      <c r="D243" t="inlineStr">
        <is>
          <t>KRONOBERGS LÄN</t>
        </is>
      </c>
      <c r="E243" t="inlineStr">
        <is>
          <t>UPPVIDINGE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52190-2023</t>
        </is>
      </c>
      <c r="B244" s="1" t="n">
        <v>45224</v>
      </c>
      <c r="C244" s="1" t="n">
        <v>45883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15450-2024</t>
        </is>
      </c>
      <c r="B245" s="1" t="n">
        <v>45401.44325231481</v>
      </c>
      <c r="C245" s="1" t="n">
        <v>45883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48676-2023</t>
        </is>
      </c>
      <c r="B246" s="1" t="n">
        <v>45208.64244212963</v>
      </c>
      <c r="C246" s="1" t="n">
        <v>45883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13873-2024</t>
        </is>
      </c>
      <c r="B247" s="1" t="n">
        <v>45391.58608796296</v>
      </c>
      <c r="C247" s="1" t="n">
        <v>45883</v>
      </c>
      <c r="D247" t="inlineStr">
        <is>
          <t>KRONOBERGS LÄN</t>
        </is>
      </c>
      <c r="E247" t="inlineStr">
        <is>
          <t>UPPVIDINGE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48123-2023</t>
        </is>
      </c>
      <c r="B248" s="1" t="n">
        <v>45205.35776620371</v>
      </c>
      <c r="C248" s="1" t="n">
        <v>45883</v>
      </c>
      <c r="D248" t="inlineStr">
        <is>
          <t>KRONOBERGS LÄN</t>
        </is>
      </c>
      <c r="E248" t="inlineStr">
        <is>
          <t>UPPVIDINGE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30108-2022</t>
        </is>
      </c>
      <c r="B249" s="1" t="n">
        <v>44757.40493055555</v>
      </c>
      <c r="C249" s="1" t="n">
        <v>45883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66115-2020</t>
        </is>
      </c>
      <c r="B250" s="1" t="n">
        <v>44175</v>
      </c>
      <c r="C250" s="1" t="n">
        <v>45883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4824-2025</t>
        </is>
      </c>
      <c r="B251" s="1" t="n">
        <v>45688</v>
      </c>
      <c r="C251" s="1" t="n">
        <v>45883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61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4830-2025</t>
        </is>
      </c>
      <c r="B252" s="1" t="n">
        <v>45688.64506944444</v>
      </c>
      <c r="C252" s="1" t="n">
        <v>45883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924-2021</t>
        </is>
      </c>
      <c r="B253" s="1" t="n">
        <v>44207</v>
      </c>
      <c r="C253" s="1" t="n">
        <v>45883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27737-2021</t>
        </is>
      </c>
      <c r="B254" s="1" t="n">
        <v>44354</v>
      </c>
      <c r="C254" s="1" t="n">
        <v>45883</v>
      </c>
      <c r="D254" t="inlineStr">
        <is>
          <t>KRONOBERGS LÄN</t>
        </is>
      </c>
      <c r="E254" t="inlineStr">
        <is>
          <t>UPPVIDINGE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42940-2022</t>
        </is>
      </c>
      <c r="B255" s="1" t="n">
        <v>44833</v>
      </c>
      <c r="C255" s="1" t="n">
        <v>45883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19619-2025</t>
        </is>
      </c>
      <c r="B256" s="1" t="n">
        <v>45770.62311342593</v>
      </c>
      <c r="C256" s="1" t="n">
        <v>45883</v>
      </c>
      <c r="D256" t="inlineStr">
        <is>
          <t>KRONOBERGS LÄN</t>
        </is>
      </c>
      <c r="E256" t="inlineStr">
        <is>
          <t>UPPVIDINGE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30117-2022</t>
        </is>
      </c>
      <c r="B257" s="1" t="n">
        <v>44757</v>
      </c>
      <c r="C257" s="1" t="n">
        <v>45883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29596-2021</t>
        </is>
      </c>
      <c r="B258" s="1" t="n">
        <v>44361.93059027778</v>
      </c>
      <c r="C258" s="1" t="n">
        <v>45883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53082-2020</t>
        </is>
      </c>
      <c r="B259" s="1" t="n">
        <v>44120</v>
      </c>
      <c r="C259" s="1" t="n">
        <v>45883</v>
      </c>
      <c r="D259" t="inlineStr">
        <is>
          <t>KRONOBERGS LÄN</t>
        </is>
      </c>
      <c r="E259" t="inlineStr">
        <is>
          <t>UPPVIDINGE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37040-2023</t>
        </is>
      </c>
      <c r="B260" s="1" t="n">
        <v>45155</v>
      </c>
      <c r="C260" s="1" t="n">
        <v>45883</v>
      </c>
      <c r="D260" t="inlineStr">
        <is>
          <t>KRONOBERGS LÄN</t>
        </is>
      </c>
      <c r="E260" t="inlineStr">
        <is>
          <t>UPPVIDINGE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15408-2021</t>
        </is>
      </c>
      <c r="B261" s="1" t="n">
        <v>44285.33586805555</v>
      </c>
      <c r="C261" s="1" t="n">
        <v>45883</v>
      </c>
      <c r="D261" t="inlineStr">
        <is>
          <t>KRONOBERGS LÄN</t>
        </is>
      </c>
      <c r="E261" t="inlineStr">
        <is>
          <t>UPPVIDINGE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13704-2025</t>
        </is>
      </c>
      <c r="B262" s="1" t="n">
        <v>45737</v>
      </c>
      <c r="C262" s="1" t="n">
        <v>45883</v>
      </c>
      <c r="D262" t="inlineStr">
        <is>
          <t>KRONOBERGS LÄN</t>
        </is>
      </c>
      <c r="E262" t="inlineStr">
        <is>
          <t>UPPVIDINGE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13705-2025</t>
        </is>
      </c>
      <c r="B263" s="1" t="n">
        <v>45737</v>
      </c>
      <c r="C263" s="1" t="n">
        <v>45883</v>
      </c>
      <c r="D263" t="inlineStr">
        <is>
          <t>KRONOBERGS LÄN</t>
        </is>
      </c>
      <c r="E263" t="inlineStr">
        <is>
          <t>UPPVIDINGE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15631-2021</t>
        </is>
      </c>
      <c r="B264" s="1" t="n">
        <v>44285.87041666666</v>
      </c>
      <c r="C264" s="1" t="n">
        <v>45883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63204-2023</t>
        </is>
      </c>
      <c r="B265" s="1" t="n">
        <v>45273.60899305555</v>
      </c>
      <c r="C265" s="1" t="n">
        <v>45883</v>
      </c>
      <c r="D265" t="inlineStr">
        <is>
          <t>KRONOBERGS LÄN</t>
        </is>
      </c>
      <c r="E265" t="inlineStr">
        <is>
          <t>UPPVIDINGE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63211-2023</t>
        </is>
      </c>
      <c r="B266" s="1" t="n">
        <v>45273</v>
      </c>
      <c r="C266" s="1" t="n">
        <v>45883</v>
      </c>
      <c r="D266" t="inlineStr">
        <is>
          <t>KRONOBERGS LÄN</t>
        </is>
      </c>
      <c r="E266" t="inlineStr">
        <is>
          <t>UPPVIDINGE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23784-2024</t>
        </is>
      </c>
      <c r="B267" s="1" t="n">
        <v>45455</v>
      </c>
      <c r="C267" s="1" t="n">
        <v>45883</v>
      </c>
      <c r="D267" t="inlineStr">
        <is>
          <t>KRONOBERGS LÄN</t>
        </is>
      </c>
      <c r="E267" t="inlineStr">
        <is>
          <t>UPPVIDINGE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55382-2024</t>
        </is>
      </c>
      <c r="B268" s="1" t="n">
        <v>45622</v>
      </c>
      <c r="C268" s="1" t="n">
        <v>45883</v>
      </c>
      <c r="D268" t="inlineStr">
        <is>
          <t>KRONOBERGS LÄN</t>
        </is>
      </c>
      <c r="E268" t="inlineStr">
        <is>
          <t>UPPVIDINGE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56047-2023</t>
        </is>
      </c>
      <c r="B269" s="1" t="n">
        <v>45233</v>
      </c>
      <c r="C269" s="1" t="n">
        <v>45883</v>
      </c>
      <c r="D269" t="inlineStr">
        <is>
          <t>KRONOBERGS LÄN</t>
        </is>
      </c>
      <c r="E269" t="inlineStr">
        <is>
          <t>UPPVIDINGE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16944-2025</t>
        </is>
      </c>
      <c r="B270" s="1" t="n">
        <v>45755</v>
      </c>
      <c r="C270" s="1" t="n">
        <v>45883</v>
      </c>
      <c r="D270" t="inlineStr">
        <is>
          <t>KRONOBERGS LÄN</t>
        </is>
      </c>
      <c r="E270" t="inlineStr">
        <is>
          <t>UPPVIDINGE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54290-2023</t>
        </is>
      </c>
      <c r="B271" s="1" t="n">
        <v>45232.72258101852</v>
      </c>
      <c r="C271" s="1" t="n">
        <v>45883</v>
      </c>
      <c r="D271" t="inlineStr">
        <is>
          <t>KRONOBERGS LÄN</t>
        </is>
      </c>
      <c r="E271" t="inlineStr">
        <is>
          <t>UPPVIDINGE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18234-2025</t>
        </is>
      </c>
      <c r="B272" s="1" t="n">
        <v>45761.93627314815</v>
      </c>
      <c r="C272" s="1" t="n">
        <v>45883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12332-2025</t>
        </is>
      </c>
      <c r="B273" s="1" t="n">
        <v>45730</v>
      </c>
      <c r="C273" s="1" t="n">
        <v>45883</v>
      </c>
      <c r="D273" t="inlineStr">
        <is>
          <t>KRONOBERGS LÄN</t>
        </is>
      </c>
      <c r="E273" t="inlineStr">
        <is>
          <t>UPPVIDINGE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18235-2025</t>
        </is>
      </c>
      <c r="B274" s="1" t="n">
        <v>45761</v>
      </c>
      <c r="C274" s="1" t="n">
        <v>45883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20450-2025</t>
        </is>
      </c>
      <c r="B275" s="1" t="n">
        <v>45775.49840277778</v>
      </c>
      <c r="C275" s="1" t="n">
        <v>45883</v>
      </c>
      <c r="D275" t="inlineStr">
        <is>
          <t>KRONOBERGS LÄN</t>
        </is>
      </c>
      <c r="E275" t="inlineStr">
        <is>
          <t>UPPVIDINGE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43403-2024</t>
        </is>
      </c>
      <c r="B276" s="1" t="n">
        <v>45568</v>
      </c>
      <c r="C276" s="1" t="n">
        <v>45883</v>
      </c>
      <c r="D276" t="inlineStr">
        <is>
          <t>KRONOBERGS LÄN</t>
        </is>
      </c>
      <c r="E276" t="inlineStr">
        <is>
          <t>UPPVIDINGE</t>
        </is>
      </c>
      <c r="F276" t="inlineStr">
        <is>
          <t>Kyrkan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63553-2023</t>
        </is>
      </c>
      <c r="B277" s="1" t="n">
        <v>45275.35230324074</v>
      </c>
      <c r="C277" s="1" t="n">
        <v>45883</v>
      </c>
      <c r="D277" t="inlineStr">
        <is>
          <t>KRONOBERGS LÄN</t>
        </is>
      </c>
      <c r="E277" t="inlineStr">
        <is>
          <t>UPPVIDINGE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57365-2023</t>
        </is>
      </c>
      <c r="B278" s="1" t="n">
        <v>45245.7939699074</v>
      </c>
      <c r="C278" s="1" t="n">
        <v>45883</v>
      </c>
      <c r="D278" t="inlineStr">
        <is>
          <t>KRONOBERGS LÄN</t>
        </is>
      </c>
      <c r="E278" t="inlineStr">
        <is>
          <t>UPPVIDINGE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15294-2025</t>
        </is>
      </c>
      <c r="B279" s="1" t="n">
        <v>45745.75537037037</v>
      </c>
      <c r="C279" s="1" t="n">
        <v>45883</v>
      </c>
      <c r="D279" t="inlineStr">
        <is>
          <t>KRONOBERGS LÄN</t>
        </is>
      </c>
      <c r="E279" t="inlineStr">
        <is>
          <t>UPPVIDINGE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21868-2022</t>
        </is>
      </c>
      <c r="B280" s="1" t="n">
        <v>44711.38688657407</v>
      </c>
      <c r="C280" s="1" t="n">
        <v>45883</v>
      </c>
      <c r="D280" t="inlineStr">
        <is>
          <t>KRONOBERGS LÄN</t>
        </is>
      </c>
      <c r="E280" t="inlineStr">
        <is>
          <t>UPPVIDINGE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16263-2025</t>
        </is>
      </c>
      <c r="B281" s="1" t="n">
        <v>45749</v>
      </c>
      <c r="C281" s="1" t="n">
        <v>45883</v>
      </c>
      <c r="D281" t="inlineStr">
        <is>
          <t>KRONOBERGS LÄN</t>
        </is>
      </c>
      <c r="E281" t="inlineStr">
        <is>
          <t>UPPVIDINGE</t>
        </is>
      </c>
      <c r="F281" t="inlineStr">
        <is>
          <t>Kyrkan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6252-2025</t>
        </is>
      </c>
      <c r="B282" s="1" t="n">
        <v>45698</v>
      </c>
      <c r="C282" s="1" t="n">
        <v>45883</v>
      </c>
      <c r="D282" t="inlineStr">
        <is>
          <t>KRONOBERGS LÄN</t>
        </is>
      </c>
      <c r="E282" t="inlineStr">
        <is>
          <t>UPPVIDINGE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16201-2023</t>
        </is>
      </c>
      <c r="B283" s="1" t="n">
        <v>45028</v>
      </c>
      <c r="C283" s="1" t="n">
        <v>45883</v>
      </c>
      <c r="D283" t="inlineStr">
        <is>
          <t>KRONOBERGS LÄN</t>
        </is>
      </c>
      <c r="E283" t="inlineStr">
        <is>
          <t>UPPVIDINGE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57032-2023</t>
        </is>
      </c>
      <c r="B284" s="1" t="n">
        <v>45244.86136574074</v>
      </c>
      <c r="C284" s="1" t="n">
        <v>45883</v>
      </c>
      <c r="D284" t="inlineStr">
        <is>
          <t>KRONOBERGS LÄN</t>
        </is>
      </c>
      <c r="E284" t="inlineStr">
        <is>
          <t>UPPVIDINGE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11650-2023</t>
        </is>
      </c>
      <c r="B285" s="1" t="n">
        <v>44994.45623842593</v>
      </c>
      <c r="C285" s="1" t="n">
        <v>45883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47435-2020</t>
        </is>
      </c>
      <c r="B286" s="1" t="n">
        <v>44097</v>
      </c>
      <c r="C286" s="1" t="n">
        <v>45883</v>
      </c>
      <c r="D286" t="inlineStr">
        <is>
          <t>KRONOBERGS LÄN</t>
        </is>
      </c>
      <c r="E286" t="inlineStr">
        <is>
          <t>UPPVIDINGE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62521-2020</t>
        </is>
      </c>
      <c r="B287" s="1" t="n">
        <v>44160</v>
      </c>
      <c r="C287" s="1" t="n">
        <v>45883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58704-2022</t>
        </is>
      </c>
      <c r="B288" s="1" t="n">
        <v>44902.79445601852</v>
      </c>
      <c r="C288" s="1" t="n">
        <v>45883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19222-2024</t>
        </is>
      </c>
      <c r="B289" s="1" t="n">
        <v>45428.55520833333</v>
      </c>
      <c r="C289" s="1" t="n">
        <v>45883</v>
      </c>
      <c r="D289" t="inlineStr">
        <is>
          <t>KRONOBERGS LÄN</t>
        </is>
      </c>
      <c r="E289" t="inlineStr">
        <is>
          <t>UPPVIDINGE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2421-2025</t>
        </is>
      </c>
      <c r="B290" s="1" t="n">
        <v>45674.38553240741</v>
      </c>
      <c r="C290" s="1" t="n">
        <v>45883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41168-2023</t>
        </is>
      </c>
      <c r="B291" s="1" t="n">
        <v>45174.34193287037</v>
      </c>
      <c r="C291" s="1" t="n">
        <v>45883</v>
      </c>
      <c r="D291" t="inlineStr">
        <is>
          <t>KRONOBERGS LÄN</t>
        </is>
      </c>
      <c r="E291" t="inlineStr">
        <is>
          <t>UPPVIDINGE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49773-2024</t>
        </is>
      </c>
      <c r="B292" s="1" t="n">
        <v>45597.34579861111</v>
      </c>
      <c r="C292" s="1" t="n">
        <v>45883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49776-2024</t>
        </is>
      </c>
      <c r="B293" s="1" t="n">
        <v>45597.34881944444</v>
      </c>
      <c r="C293" s="1" t="n">
        <v>45883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50150-2024</t>
        </is>
      </c>
      <c r="B294" s="1" t="n">
        <v>45600.45402777778</v>
      </c>
      <c r="C294" s="1" t="n">
        <v>45883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15266-2024</t>
        </is>
      </c>
      <c r="B295" s="1" t="n">
        <v>45400</v>
      </c>
      <c r="C295" s="1" t="n">
        <v>45883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61134-2022</t>
        </is>
      </c>
      <c r="B296" s="1" t="n">
        <v>44908</v>
      </c>
      <c r="C296" s="1" t="n">
        <v>45883</v>
      </c>
      <c r="D296" t="inlineStr">
        <is>
          <t>KRONOBERGS LÄN</t>
        </is>
      </c>
      <c r="E296" t="inlineStr">
        <is>
          <t>UPPVIDINGE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19942-2022</t>
        </is>
      </c>
      <c r="B297" s="1" t="n">
        <v>44697</v>
      </c>
      <c r="C297" s="1" t="n">
        <v>45883</v>
      </c>
      <c r="D297" t="inlineStr">
        <is>
          <t>KRONOBERGS LÄN</t>
        </is>
      </c>
      <c r="E297" t="inlineStr">
        <is>
          <t>UPPVIDINGE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22178-2023</t>
        </is>
      </c>
      <c r="B298" s="1" t="n">
        <v>45069.69295138889</v>
      </c>
      <c r="C298" s="1" t="n">
        <v>45883</v>
      </c>
      <c r="D298" t="inlineStr">
        <is>
          <t>KRONOBERGS LÄN</t>
        </is>
      </c>
      <c r="E298" t="inlineStr">
        <is>
          <t>UPPVIDINGE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30100-2022</t>
        </is>
      </c>
      <c r="B299" s="1" t="n">
        <v>44757.39927083333</v>
      </c>
      <c r="C299" s="1" t="n">
        <v>45883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30107-2022</t>
        </is>
      </c>
      <c r="B300" s="1" t="n">
        <v>44757.40454861111</v>
      </c>
      <c r="C300" s="1" t="n">
        <v>45883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60520-2020</t>
        </is>
      </c>
      <c r="B301" s="1" t="n">
        <v>44153</v>
      </c>
      <c r="C301" s="1" t="n">
        <v>45883</v>
      </c>
      <c r="D301" t="inlineStr">
        <is>
          <t>KRONOBERGS LÄN</t>
        </is>
      </c>
      <c r="E301" t="inlineStr">
        <is>
          <t>UPPVIDINGE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32758-2021</t>
        </is>
      </c>
      <c r="B302" s="1" t="n">
        <v>44375</v>
      </c>
      <c r="C302" s="1" t="n">
        <v>45883</v>
      </c>
      <c r="D302" t="inlineStr">
        <is>
          <t>KRONOBERGS LÄN</t>
        </is>
      </c>
      <c r="E302" t="inlineStr">
        <is>
          <t>UPPVIDINGE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15744-2023</t>
        </is>
      </c>
      <c r="B303" s="1" t="n">
        <v>45020</v>
      </c>
      <c r="C303" s="1" t="n">
        <v>45883</v>
      </c>
      <c r="D303" t="inlineStr">
        <is>
          <t>KRONOBERGS LÄN</t>
        </is>
      </c>
      <c r="E303" t="inlineStr">
        <is>
          <t>UPPVIDINGE</t>
        </is>
      </c>
      <c r="F303" t="inlineStr">
        <is>
          <t>Kyrkan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54094-2022</t>
        </is>
      </c>
      <c r="B304" s="1" t="n">
        <v>44881.54231481482</v>
      </c>
      <c r="C304" s="1" t="n">
        <v>45883</v>
      </c>
      <c r="D304" t="inlineStr">
        <is>
          <t>KRONOBERGS LÄN</t>
        </is>
      </c>
      <c r="E304" t="inlineStr">
        <is>
          <t>UPPVIDINGE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27114-2024</t>
        </is>
      </c>
      <c r="B305" s="1" t="n">
        <v>45471</v>
      </c>
      <c r="C305" s="1" t="n">
        <v>45883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10967-2021</t>
        </is>
      </c>
      <c r="B306" s="1" t="n">
        <v>44260</v>
      </c>
      <c r="C306" s="1" t="n">
        <v>45883</v>
      </c>
      <c r="D306" t="inlineStr">
        <is>
          <t>KRONOBERGS LÄN</t>
        </is>
      </c>
      <c r="E306" t="inlineStr">
        <is>
          <t>UPPVIDINGE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15264-2024</t>
        </is>
      </c>
      <c r="B307" s="1" t="n">
        <v>45400</v>
      </c>
      <c r="C307" s="1" t="n">
        <v>45883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1423-2025</t>
        </is>
      </c>
      <c r="B308" s="1" t="n">
        <v>45668.63396990741</v>
      </c>
      <c r="C308" s="1" t="n">
        <v>45883</v>
      </c>
      <c r="D308" t="inlineStr">
        <is>
          <t>KRONOBERGS LÄN</t>
        </is>
      </c>
      <c r="E308" t="inlineStr">
        <is>
          <t>UPPVIDINGE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53241-2023</t>
        </is>
      </c>
      <c r="B309" s="1" t="n">
        <v>45229.49331018519</v>
      </c>
      <c r="C309" s="1" t="n">
        <v>45883</v>
      </c>
      <c r="D309" t="inlineStr">
        <is>
          <t>KRONOBERGS LÄN</t>
        </is>
      </c>
      <c r="E309" t="inlineStr">
        <is>
          <t>UPPVIDINGE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62566-2022</t>
        </is>
      </c>
      <c r="B310" s="1" t="n">
        <v>44924.79619212963</v>
      </c>
      <c r="C310" s="1" t="n">
        <v>45883</v>
      </c>
      <c r="D310" t="inlineStr">
        <is>
          <t>KRONOBERGS LÄN</t>
        </is>
      </c>
      <c r="E310" t="inlineStr">
        <is>
          <t>UPPVIDINGE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14500-2023</t>
        </is>
      </c>
      <c r="B311" s="1" t="n">
        <v>45012</v>
      </c>
      <c r="C311" s="1" t="n">
        <v>45883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13579-2024</t>
        </is>
      </c>
      <c r="B312" s="1" t="n">
        <v>45389</v>
      </c>
      <c r="C312" s="1" t="n">
        <v>45883</v>
      </c>
      <c r="D312" t="inlineStr">
        <is>
          <t>KRONOBERGS LÄN</t>
        </is>
      </c>
      <c r="E312" t="inlineStr">
        <is>
          <t>UPPVIDINGE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13580-2024</t>
        </is>
      </c>
      <c r="B313" s="1" t="n">
        <v>45389</v>
      </c>
      <c r="C313" s="1" t="n">
        <v>45883</v>
      </c>
      <c r="D313" t="inlineStr">
        <is>
          <t>KRONOBERGS LÄN</t>
        </is>
      </c>
      <c r="E313" t="inlineStr">
        <is>
          <t>UPPVIDINGE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34481-2024</t>
        </is>
      </c>
      <c r="B314" s="1" t="n">
        <v>45525.6055787037</v>
      </c>
      <c r="C314" s="1" t="n">
        <v>45883</v>
      </c>
      <c r="D314" t="inlineStr">
        <is>
          <t>KRONOBERGS LÄN</t>
        </is>
      </c>
      <c r="E314" t="inlineStr">
        <is>
          <t>UPPVIDINGE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9674-2025</t>
        </is>
      </c>
      <c r="B315" s="1" t="n">
        <v>45716.33921296296</v>
      </c>
      <c r="C315" s="1" t="n">
        <v>45883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34543-2023</t>
        </is>
      </c>
      <c r="B316" s="1" t="n">
        <v>45140</v>
      </c>
      <c r="C316" s="1" t="n">
        <v>45883</v>
      </c>
      <c r="D316" t="inlineStr">
        <is>
          <t>KRONOBERGS LÄN</t>
        </is>
      </c>
      <c r="E316" t="inlineStr">
        <is>
          <t>UPPVIDINGE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30589-2023</t>
        </is>
      </c>
      <c r="B317" s="1" t="n">
        <v>45112.3402199074</v>
      </c>
      <c r="C317" s="1" t="n">
        <v>45883</v>
      </c>
      <c r="D317" t="inlineStr">
        <is>
          <t>KRONOBERGS LÄN</t>
        </is>
      </c>
      <c r="E317" t="inlineStr">
        <is>
          <t>UPPVIDINGE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41764-2020</t>
        </is>
      </c>
      <c r="B318" s="1" t="n">
        <v>44074</v>
      </c>
      <c r="C318" s="1" t="n">
        <v>45883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60670-2023</t>
        </is>
      </c>
      <c r="B319" s="1" t="n">
        <v>45260.46252314815</v>
      </c>
      <c r="C319" s="1" t="n">
        <v>45883</v>
      </c>
      <c r="D319" t="inlineStr">
        <is>
          <t>KRONOBERGS LÄN</t>
        </is>
      </c>
      <c r="E319" t="inlineStr">
        <is>
          <t>UPPVIDINGE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21275-2024</t>
        </is>
      </c>
      <c r="B320" s="1" t="n">
        <v>45440.6484375</v>
      </c>
      <c r="C320" s="1" t="n">
        <v>45883</v>
      </c>
      <c r="D320" t="inlineStr">
        <is>
          <t>KRONOBERGS LÄN</t>
        </is>
      </c>
      <c r="E320" t="inlineStr">
        <is>
          <t>UPPVIDINGE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1476-2025</t>
        </is>
      </c>
      <c r="B321" s="1" t="n">
        <v>45670.3792824074</v>
      </c>
      <c r="C321" s="1" t="n">
        <v>45883</v>
      </c>
      <c r="D321" t="inlineStr">
        <is>
          <t>KRONOBERGS LÄN</t>
        </is>
      </c>
      <c r="E321" t="inlineStr">
        <is>
          <t>UPPVIDINGE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45387-2022</t>
        </is>
      </c>
      <c r="B322" s="1" t="n">
        <v>44844.67142361111</v>
      </c>
      <c r="C322" s="1" t="n">
        <v>45883</v>
      </c>
      <c r="D322" t="inlineStr">
        <is>
          <t>KRONOBERGS LÄN</t>
        </is>
      </c>
      <c r="E322" t="inlineStr">
        <is>
          <t>UPPVIDINGE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19044-2025</t>
        </is>
      </c>
      <c r="B323" s="1" t="n">
        <v>45764</v>
      </c>
      <c r="C323" s="1" t="n">
        <v>45883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36780-2021</t>
        </is>
      </c>
      <c r="B324" s="1" t="n">
        <v>44392.68070601852</v>
      </c>
      <c r="C324" s="1" t="n">
        <v>45883</v>
      </c>
      <c r="D324" t="inlineStr">
        <is>
          <t>KRONOBERGS LÄN</t>
        </is>
      </c>
      <c r="E324" t="inlineStr">
        <is>
          <t>UPPVIDINGE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13147-2024</t>
        </is>
      </c>
      <c r="B325" s="1" t="n">
        <v>45386.35322916666</v>
      </c>
      <c r="C325" s="1" t="n">
        <v>45883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50115-2022</t>
        </is>
      </c>
      <c r="B326" s="1" t="n">
        <v>44865.54231481482</v>
      </c>
      <c r="C326" s="1" t="n">
        <v>45883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7678-2025</t>
        </is>
      </c>
      <c r="B327" s="1" t="n">
        <v>45706.36192129629</v>
      </c>
      <c r="C327" s="1" t="n">
        <v>45883</v>
      </c>
      <c r="D327" t="inlineStr">
        <is>
          <t>KRONOBERGS LÄN</t>
        </is>
      </c>
      <c r="E327" t="inlineStr">
        <is>
          <t>UPPVIDINGE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24857-2023</t>
        </is>
      </c>
      <c r="B328" s="1" t="n">
        <v>45085</v>
      </c>
      <c r="C328" s="1" t="n">
        <v>45883</v>
      </c>
      <c r="D328" t="inlineStr">
        <is>
          <t>KRONOBERGS LÄN</t>
        </is>
      </c>
      <c r="E328" t="inlineStr">
        <is>
          <t>UPPVIDINGE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46693-2024</t>
        </is>
      </c>
      <c r="B329" s="1" t="n">
        <v>45583.40994212963</v>
      </c>
      <c r="C329" s="1" t="n">
        <v>45883</v>
      </c>
      <c r="D329" t="inlineStr">
        <is>
          <t>KRONOBERGS LÄN</t>
        </is>
      </c>
      <c r="E329" t="inlineStr">
        <is>
          <t>UPPVIDINGE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37377-2023</t>
        </is>
      </c>
      <c r="B330" s="1" t="n">
        <v>45156.54523148148</v>
      </c>
      <c r="C330" s="1" t="n">
        <v>45883</v>
      </c>
      <c r="D330" t="inlineStr">
        <is>
          <t>KRONOBERGS LÄN</t>
        </is>
      </c>
      <c r="E330" t="inlineStr">
        <is>
          <t>UPPVIDINGE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16942-2025</t>
        </is>
      </c>
      <c r="B331" s="1" t="n">
        <v>45755</v>
      </c>
      <c r="C331" s="1" t="n">
        <v>45883</v>
      </c>
      <c r="D331" t="inlineStr">
        <is>
          <t>KRONOBERGS LÄN</t>
        </is>
      </c>
      <c r="E331" t="inlineStr">
        <is>
          <t>UPPVIDINGE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54366-2022</t>
        </is>
      </c>
      <c r="B332" s="1" t="n">
        <v>44882</v>
      </c>
      <c r="C332" s="1" t="n">
        <v>45883</v>
      </c>
      <c r="D332" t="inlineStr">
        <is>
          <t>KRONOBERGS LÄN</t>
        </is>
      </c>
      <c r="E332" t="inlineStr">
        <is>
          <t>UPPVIDINGE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7504-2023</t>
        </is>
      </c>
      <c r="B333" s="1" t="n">
        <v>44971.76994212963</v>
      </c>
      <c r="C333" s="1" t="n">
        <v>45883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34631-2023</t>
        </is>
      </c>
      <c r="B334" s="1" t="n">
        <v>45140</v>
      </c>
      <c r="C334" s="1" t="n">
        <v>45883</v>
      </c>
      <c r="D334" t="inlineStr">
        <is>
          <t>KRONOBERGS LÄN</t>
        </is>
      </c>
      <c r="E334" t="inlineStr">
        <is>
          <t>UPPVIDINGE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64159-2023</t>
        </is>
      </c>
      <c r="B335" s="1" t="n">
        <v>45279.61047453704</v>
      </c>
      <c r="C335" s="1" t="n">
        <v>45883</v>
      </c>
      <c r="D335" t="inlineStr">
        <is>
          <t>KRONOBERGS LÄN</t>
        </is>
      </c>
      <c r="E335" t="inlineStr">
        <is>
          <t>UPPVIDINGE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33949-2022</t>
        </is>
      </c>
      <c r="B336" s="1" t="n">
        <v>44790</v>
      </c>
      <c r="C336" s="1" t="n">
        <v>45883</v>
      </c>
      <c r="D336" t="inlineStr">
        <is>
          <t>KRONOBERGS LÄN</t>
        </is>
      </c>
      <c r="E336" t="inlineStr">
        <is>
          <t>UPPVIDINGE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7402-2025</t>
        </is>
      </c>
      <c r="B337" s="1" t="n">
        <v>45705.35732638889</v>
      </c>
      <c r="C337" s="1" t="n">
        <v>45883</v>
      </c>
      <c r="D337" t="inlineStr">
        <is>
          <t>KRONOBERGS LÄN</t>
        </is>
      </c>
      <c r="E337" t="inlineStr">
        <is>
          <t>UPPVIDINGE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10713-2024</t>
        </is>
      </c>
      <c r="B338" s="1" t="n">
        <v>45369.44256944444</v>
      </c>
      <c r="C338" s="1" t="n">
        <v>45883</v>
      </c>
      <c r="D338" t="inlineStr">
        <is>
          <t>KRONOBERGS LÄN</t>
        </is>
      </c>
      <c r="E338" t="inlineStr">
        <is>
          <t>UPPVIDINGE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24457-2023</t>
        </is>
      </c>
      <c r="B339" s="1" t="n">
        <v>45082</v>
      </c>
      <c r="C339" s="1" t="n">
        <v>45883</v>
      </c>
      <c r="D339" t="inlineStr">
        <is>
          <t>KRONOBERGS LÄN</t>
        </is>
      </c>
      <c r="E339" t="inlineStr">
        <is>
          <t>UPPVIDINGE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53445-2021</t>
        </is>
      </c>
      <c r="B340" s="1" t="n">
        <v>44468.68219907407</v>
      </c>
      <c r="C340" s="1" t="n">
        <v>45883</v>
      </c>
      <c r="D340" t="inlineStr">
        <is>
          <t>KRONOBERGS LÄN</t>
        </is>
      </c>
      <c r="E340" t="inlineStr">
        <is>
          <t>UPPVIDINGE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47176-2021</t>
        </is>
      </c>
      <c r="B341" s="1" t="n">
        <v>44446</v>
      </c>
      <c r="C341" s="1" t="n">
        <v>45883</v>
      </c>
      <c r="D341" t="inlineStr">
        <is>
          <t>KRONOBERGS LÄN</t>
        </is>
      </c>
      <c r="E341" t="inlineStr">
        <is>
          <t>UPPVIDINGE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32740-2021</t>
        </is>
      </c>
      <c r="B342" s="1" t="n">
        <v>44375</v>
      </c>
      <c r="C342" s="1" t="n">
        <v>45883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20131-2024</t>
        </is>
      </c>
      <c r="B343" s="1" t="n">
        <v>45434.56020833334</v>
      </c>
      <c r="C343" s="1" t="n">
        <v>45883</v>
      </c>
      <c r="D343" t="inlineStr">
        <is>
          <t>KRONOBERGS LÄN</t>
        </is>
      </c>
      <c r="E343" t="inlineStr">
        <is>
          <t>UPPVIDINGE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11807-2024</t>
        </is>
      </c>
      <c r="B344" s="1" t="n">
        <v>45375</v>
      </c>
      <c r="C344" s="1" t="n">
        <v>45883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63095-2020</t>
        </is>
      </c>
      <c r="B345" s="1" t="n">
        <v>44162</v>
      </c>
      <c r="C345" s="1" t="n">
        <v>45883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43497-2023</t>
        </is>
      </c>
      <c r="B346" s="1" t="n">
        <v>45181</v>
      </c>
      <c r="C346" s="1" t="n">
        <v>45883</v>
      </c>
      <c r="D346" t="inlineStr">
        <is>
          <t>KRONOBERGS LÄN</t>
        </is>
      </c>
      <c r="E346" t="inlineStr">
        <is>
          <t>UPPVIDINGE</t>
        </is>
      </c>
      <c r="F346" t="inlineStr">
        <is>
          <t>Kyrkan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16351-2024</t>
        </is>
      </c>
      <c r="B347" s="1" t="n">
        <v>45407.5766087963</v>
      </c>
      <c r="C347" s="1" t="n">
        <v>45883</v>
      </c>
      <c r="D347" t="inlineStr">
        <is>
          <t>KRONOBERGS LÄN</t>
        </is>
      </c>
      <c r="E347" t="inlineStr">
        <is>
          <t>UPPVIDINGE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12950-2024</t>
        </is>
      </c>
      <c r="B348" s="1" t="n">
        <v>45385</v>
      </c>
      <c r="C348" s="1" t="n">
        <v>45883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1481-2023</t>
        </is>
      </c>
      <c r="B349" s="1" t="n">
        <v>44937</v>
      </c>
      <c r="C349" s="1" t="n">
        <v>45883</v>
      </c>
      <c r="D349" t="inlineStr">
        <is>
          <t>KRONOBERGS LÄN</t>
        </is>
      </c>
      <c r="E349" t="inlineStr">
        <is>
          <t>UPPVIDINGE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1482-2023</t>
        </is>
      </c>
      <c r="B350" s="1" t="n">
        <v>44937.46436342593</v>
      </c>
      <c r="C350" s="1" t="n">
        <v>45883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19070-2024</t>
        </is>
      </c>
      <c r="B351" s="1" t="n">
        <v>45427.93607638889</v>
      </c>
      <c r="C351" s="1" t="n">
        <v>45883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52449-2023</t>
        </is>
      </c>
      <c r="B352" s="1" t="n">
        <v>45225</v>
      </c>
      <c r="C352" s="1" t="n">
        <v>45883</v>
      </c>
      <c r="D352" t="inlineStr">
        <is>
          <t>KRONOBERGS LÄN</t>
        </is>
      </c>
      <c r="E352" t="inlineStr">
        <is>
          <t>UPPVIDINGE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7897-2024</t>
        </is>
      </c>
      <c r="B353" s="1" t="n">
        <v>45350</v>
      </c>
      <c r="C353" s="1" t="n">
        <v>45883</v>
      </c>
      <c r="D353" t="inlineStr">
        <is>
          <t>KRONOBERGS LÄN</t>
        </is>
      </c>
      <c r="E353" t="inlineStr">
        <is>
          <t>UPPVIDINGE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36871-2023</t>
        </is>
      </c>
      <c r="B354" s="1" t="n">
        <v>45154.57079861111</v>
      </c>
      <c r="C354" s="1" t="n">
        <v>45883</v>
      </c>
      <c r="D354" t="inlineStr">
        <is>
          <t>KRONOBERGS LÄN</t>
        </is>
      </c>
      <c r="E354" t="inlineStr">
        <is>
          <t>UPPVIDINGE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61820-2022</t>
        </is>
      </c>
      <c r="B355" s="1" t="n">
        <v>44917.58131944444</v>
      </c>
      <c r="C355" s="1" t="n">
        <v>45883</v>
      </c>
      <c r="D355" t="inlineStr">
        <is>
          <t>KRONOBERGS LÄN</t>
        </is>
      </c>
      <c r="E355" t="inlineStr">
        <is>
          <t>UPPVIDINGE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31643-2024</t>
        </is>
      </c>
      <c r="B356" s="1" t="n">
        <v>45506.60435185185</v>
      </c>
      <c r="C356" s="1" t="n">
        <v>45883</v>
      </c>
      <c r="D356" t="inlineStr">
        <is>
          <t>KRONOBERGS LÄN</t>
        </is>
      </c>
      <c r="E356" t="inlineStr">
        <is>
          <t>UPPVIDINGE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41415-2020</t>
        </is>
      </c>
      <c r="B357" s="1" t="n">
        <v>44073</v>
      </c>
      <c r="C357" s="1" t="n">
        <v>45883</v>
      </c>
      <c r="D357" t="inlineStr">
        <is>
          <t>KRONOBERGS LÄN</t>
        </is>
      </c>
      <c r="E357" t="inlineStr">
        <is>
          <t>UPPVIDINGE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38860-2024</t>
        </is>
      </c>
      <c r="B358" s="1" t="n">
        <v>45547.62819444444</v>
      </c>
      <c r="C358" s="1" t="n">
        <v>45883</v>
      </c>
      <c r="D358" t="inlineStr">
        <is>
          <t>KRONOBERGS LÄN</t>
        </is>
      </c>
      <c r="E358" t="inlineStr">
        <is>
          <t>UPPVIDINGE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40443-2020</t>
        </is>
      </c>
      <c r="B359" s="1" t="n">
        <v>44069</v>
      </c>
      <c r="C359" s="1" t="n">
        <v>45883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38859-2024</t>
        </is>
      </c>
      <c r="B360" s="1" t="n">
        <v>45547.62703703704</v>
      </c>
      <c r="C360" s="1" t="n">
        <v>45883</v>
      </c>
      <c r="D360" t="inlineStr">
        <is>
          <t>KRONOBERGS LÄN</t>
        </is>
      </c>
      <c r="E360" t="inlineStr">
        <is>
          <t>UPPVIDINGE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12183-2023</t>
        </is>
      </c>
      <c r="B361" s="1" t="n">
        <v>44998.55319444444</v>
      </c>
      <c r="C361" s="1" t="n">
        <v>45883</v>
      </c>
      <c r="D361" t="inlineStr">
        <is>
          <t>KRONOBERGS LÄN</t>
        </is>
      </c>
      <c r="E361" t="inlineStr">
        <is>
          <t>UPPVIDINGE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HYPERLINK("https://klasma.github.io/Logging_0760/knärot/A 12183-2023 karta knärot.png", "A 12183-2023")</f>
        <v/>
      </c>
      <c r="V361">
        <f>HYPERLINK("https://klasma.github.io/Logging_0760/klagomål/A 12183-2023 FSC-klagomål.docx", "A 12183-2023")</f>
        <v/>
      </c>
      <c r="W361">
        <f>HYPERLINK("https://klasma.github.io/Logging_0760/klagomålsmail/A 12183-2023 FSC-klagomål mail.docx", "A 12183-2023")</f>
        <v/>
      </c>
      <c r="X361">
        <f>HYPERLINK("https://klasma.github.io/Logging_0760/tillsyn/A 12183-2023 tillsynsbegäran.docx", "A 12183-2023")</f>
        <v/>
      </c>
      <c r="Y361">
        <f>HYPERLINK("https://klasma.github.io/Logging_0760/tillsynsmail/A 12183-2023 tillsynsbegäran mail.docx", "A 12183-2023")</f>
        <v/>
      </c>
    </row>
    <row r="362" ht="15" customHeight="1">
      <c r="A362" t="inlineStr">
        <is>
          <t>A 45081-2021</t>
        </is>
      </c>
      <c r="B362" s="1" t="n">
        <v>44438</v>
      </c>
      <c r="C362" s="1" t="n">
        <v>45883</v>
      </c>
      <c r="D362" t="inlineStr">
        <is>
          <t>KRONOBERGS LÄN</t>
        </is>
      </c>
      <c r="E362" t="inlineStr">
        <is>
          <t>UPPVIDINGE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43988-2022</t>
        </is>
      </c>
      <c r="B363" s="1" t="n">
        <v>44838</v>
      </c>
      <c r="C363" s="1" t="n">
        <v>45883</v>
      </c>
      <c r="D363" t="inlineStr">
        <is>
          <t>KRONOBERGS LÄN</t>
        </is>
      </c>
      <c r="E363" t="inlineStr">
        <is>
          <t>UPPVIDINGE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19225-2024</t>
        </is>
      </c>
      <c r="B364" s="1" t="n">
        <v>45428.55946759259</v>
      </c>
      <c r="C364" s="1" t="n">
        <v>45883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19236-2024</t>
        </is>
      </c>
      <c r="B365" s="1" t="n">
        <v>45428.5703587963</v>
      </c>
      <c r="C365" s="1" t="n">
        <v>45883</v>
      </c>
      <c r="D365" t="inlineStr">
        <is>
          <t>KRONOBERGS LÄN</t>
        </is>
      </c>
      <c r="E365" t="inlineStr">
        <is>
          <t>UPPVIDINGE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19242-2024</t>
        </is>
      </c>
      <c r="B366" s="1" t="n">
        <v>45428.57371527778</v>
      </c>
      <c r="C366" s="1" t="n">
        <v>45883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37823-2024</t>
        </is>
      </c>
      <c r="B367" s="1" t="n">
        <v>45544.33987268519</v>
      </c>
      <c r="C367" s="1" t="n">
        <v>45883</v>
      </c>
      <c r="D367" t="inlineStr">
        <is>
          <t>KRONOBERGS LÄN</t>
        </is>
      </c>
      <c r="E367" t="inlineStr">
        <is>
          <t>UPPVIDINGE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26683-2023</t>
        </is>
      </c>
      <c r="B368" s="1" t="n">
        <v>45093.34891203704</v>
      </c>
      <c r="C368" s="1" t="n">
        <v>45883</v>
      </c>
      <c r="D368" t="inlineStr">
        <is>
          <t>KRONOBERGS LÄN</t>
        </is>
      </c>
      <c r="E368" t="inlineStr">
        <is>
          <t>UPPVIDINGE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49589-2024</t>
        </is>
      </c>
      <c r="B369" s="1" t="n">
        <v>45596.54981481482</v>
      </c>
      <c r="C369" s="1" t="n">
        <v>45883</v>
      </c>
      <c r="D369" t="inlineStr">
        <is>
          <t>KRONOBERGS LÄN</t>
        </is>
      </c>
      <c r="E369" t="inlineStr">
        <is>
          <t>UPPVIDINGE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19211-2024</t>
        </is>
      </c>
      <c r="B370" s="1" t="n">
        <v>45428.54791666667</v>
      </c>
      <c r="C370" s="1" t="n">
        <v>45883</v>
      </c>
      <c r="D370" t="inlineStr">
        <is>
          <t>KRONOBERGS LÄN</t>
        </is>
      </c>
      <c r="E370" t="inlineStr">
        <is>
          <t>UPPVIDINGE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5126-2025</t>
        </is>
      </c>
      <c r="B371" s="1" t="n">
        <v>45691.56284722222</v>
      </c>
      <c r="C371" s="1" t="n">
        <v>45883</v>
      </c>
      <c r="D371" t="inlineStr">
        <is>
          <t>KRONOBERGS LÄN</t>
        </is>
      </c>
      <c r="E371" t="inlineStr">
        <is>
          <t>UPPVIDINGE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23712-2024</t>
        </is>
      </c>
      <c r="B372" s="1" t="n">
        <v>45454.73359953704</v>
      </c>
      <c r="C372" s="1" t="n">
        <v>45883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3243-2025</t>
        </is>
      </c>
      <c r="B373" s="1" t="n">
        <v>45679.50844907408</v>
      </c>
      <c r="C373" s="1" t="n">
        <v>45883</v>
      </c>
      <c r="D373" t="inlineStr">
        <is>
          <t>KRONOBERGS LÄN</t>
        </is>
      </c>
      <c r="E373" t="inlineStr">
        <is>
          <t>UPPVIDINGE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31766-2023</t>
        </is>
      </c>
      <c r="B374" s="1" t="n">
        <v>45118.36900462963</v>
      </c>
      <c r="C374" s="1" t="n">
        <v>45883</v>
      </c>
      <c r="D374" t="inlineStr">
        <is>
          <t>KRONOBERGS LÄN</t>
        </is>
      </c>
      <c r="E374" t="inlineStr">
        <is>
          <t>UPPVIDINGE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19204-2024</t>
        </is>
      </c>
      <c r="B375" s="1" t="n">
        <v>45428.53717592593</v>
      </c>
      <c r="C375" s="1" t="n">
        <v>45883</v>
      </c>
      <c r="D375" t="inlineStr">
        <is>
          <t>KRONOBERGS LÄN</t>
        </is>
      </c>
      <c r="E375" t="inlineStr">
        <is>
          <t>UPPVIDINGE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19213-2024</t>
        </is>
      </c>
      <c r="B376" s="1" t="n">
        <v>45428.54854166666</v>
      </c>
      <c r="C376" s="1" t="n">
        <v>45883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19214-2024</t>
        </is>
      </c>
      <c r="B377" s="1" t="n">
        <v>45428.54914351852</v>
      </c>
      <c r="C377" s="1" t="n">
        <v>45883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19220-2024</t>
        </is>
      </c>
      <c r="B378" s="1" t="n">
        <v>45428.55339120371</v>
      </c>
      <c r="C378" s="1" t="n">
        <v>45883</v>
      </c>
      <c r="D378" t="inlineStr">
        <is>
          <t>KRONOBERGS LÄN</t>
        </is>
      </c>
      <c r="E378" t="inlineStr">
        <is>
          <t>UPPVIDINGE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19235-2024</t>
        </is>
      </c>
      <c r="B379" s="1" t="n">
        <v>45428.56928240741</v>
      </c>
      <c r="C379" s="1" t="n">
        <v>45883</v>
      </c>
      <c r="D379" t="inlineStr">
        <is>
          <t>KRONOBERGS LÄN</t>
        </is>
      </c>
      <c r="E379" t="inlineStr">
        <is>
          <t>UPPVIDINGE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19252-2024</t>
        </is>
      </c>
      <c r="B380" s="1" t="n">
        <v>45428.58675925926</v>
      </c>
      <c r="C380" s="1" t="n">
        <v>45883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37844-2024</t>
        </is>
      </c>
      <c r="B381" s="1" t="n">
        <v>45544.36982638889</v>
      </c>
      <c r="C381" s="1" t="n">
        <v>45883</v>
      </c>
      <c r="D381" t="inlineStr">
        <is>
          <t>KRONOBERGS LÄN</t>
        </is>
      </c>
      <c r="E381" t="inlineStr">
        <is>
          <t>UPPVIDINGE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49285-2020</t>
        </is>
      </c>
      <c r="B382" s="1" t="n">
        <v>44105</v>
      </c>
      <c r="C382" s="1" t="n">
        <v>45883</v>
      </c>
      <c r="D382" t="inlineStr">
        <is>
          <t>KRONOBERGS LÄN</t>
        </is>
      </c>
      <c r="E382" t="inlineStr">
        <is>
          <t>UPPVIDINGE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10129-2024</t>
        </is>
      </c>
      <c r="B383" s="1" t="n">
        <v>45364.57331018519</v>
      </c>
      <c r="C383" s="1" t="n">
        <v>45883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5024-2022</t>
        </is>
      </c>
      <c r="B384" s="1" t="n">
        <v>44593.63554398148</v>
      </c>
      <c r="C384" s="1" t="n">
        <v>45883</v>
      </c>
      <c r="D384" t="inlineStr">
        <is>
          <t>KRONOBERGS LÄN</t>
        </is>
      </c>
      <c r="E384" t="inlineStr">
        <is>
          <t>UPPVIDINGE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64089-2020</t>
        </is>
      </c>
      <c r="B385" s="1" t="n">
        <v>44167</v>
      </c>
      <c r="C385" s="1" t="n">
        <v>45883</v>
      </c>
      <c r="D385" t="inlineStr">
        <is>
          <t>KRONOBERGS LÄN</t>
        </is>
      </c>
      <c r="E385" t="inlineStr">
        <is>
          <t>UPPVIDINGE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6070-2024</t>
        </is>
      </c>
      <c r="B386" s="1" t="n">
        <v>45336.92125</v>
      </c>
      <c r="C386" s="1" t="n">
        <v>45883</v>
      </c>
      <c r="D386" t="inlineStr">
        <is>
          <t>KRONOBERGS LÄN</t>
        </is>
      </c>
      <c r="E386" t="inlineStr">
        <is>
          <t>UPPVIDINGE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29160-2023</t>
        </is>
      </c>
      <c r="B387" s="1" t="n">
        <v>45105.48627314815</v>
      </c>
      <c r="C387" s="1" t="n">
        <v>45883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19209-2024</t>
        </is>
      </c>
      <c r="B388" s="1" t="n">
        <v>45428.54546296296</v>
      </c>
      <c r="C388" s="1" t="n">
        <v>45883</v>
      </c>
      <c r="D388" t="inlineStr">
        <is>
          <t>KRONOBERGS LÄN</t>
        </is>
      </c>
      <c r="E388" t="inlineStr">
        <is>
          <t>UPPVIDINGE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31445-2023</t>
        </is>
      </c>
      <c r="B389" s="1" t="n">
        <v>45114.65185185185</v>
      </c>
      <c r="C389" s="1" t="n">
        <v>45883</v>
      </c>
      <c r="D389" t="inlineStr">
        <is>
          <t>KRONOBERGS LÄN</t>
        </is>
      </c>
      <c r="E389" t="inlineStr">
        <is>
          <t>UPPVIDINGE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19227-2024</t>
        </is>
      </c>
      <c r="B390" s="1" t="n">
        <v>45428.56197916667</v>
      </c>
      <c r="C390" s="1" t="n">
        <v>45883</v>
      </c>
      <c r="D390" t="inlineStr">
        <is>
          <t>KRONOBERGS LÄN</t>
        </is>
      </c>
      <c r="E390" t="inlineStr">
        <is>
          <t>UPPVIDINGE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39094-2023</t>
        </is>
      </c>
      <c r="B391" s="1" t="n">
        <v>45164</v>
      </c>
      <c r="C391" s="1" t="n">
        <v>45883</v>
      </c>
      <c r="D391" t="inlineStr">
        <is>
          <t>KRONOBERGS LÄN</t>
        </is>
      </c>
      <c r="E391" t="inlineStr">
        <is>
          <t>UPPVIDINGE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9685-2025</t>
        </is>
      </c>
      <c r="B392" s="1" t="n">
        <v>45716.35056712963</v>
      </c>
      <c r="C392" s="1" t="n">
        <v>45883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25503-2023</t>
        </is>
      </c>
      <c r="B393" s="1" t="n">
        <v>45089</v>
      </c>
      <c r="C393" s="1" t="n">
        <v>45883</v>
      </c>
      <c r="D393" t="inlineStr">
        <is>
          <t>KRONOBERGS LÄN</t>
        </is>
      </c>
      <c r="E393" t="inlineStr">
        <is>
          <t>UPPVIDINGE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60351-2024</t>
        </is>
      </c>
      <c r="B394" s="1" t="n">
        <v>45643.43193287037</v>
      </c>
      <c r="C394" s="1" t="n">
        <v>45883</v>
      </c>
      <c r="D394" t="inlineStr">
        <is>
          <t>KRONOBERGS LÄN</t>
        </is>
      </c>
      <c r="E394" t="inlineStr">
        <is>
          <t>UPPVIDINGE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54068-2024</t>
        </is>
      </c>
      <c r="B395" s="1" t="n">
        <v>45615</v>
      </c>
      <c r="C395" s="1" t="n">
        <v>45883</v>
      </c>
      <c r="D395" t="inlineStr">
        <is>
          <t>KRONOBERGS LÄN</t>
        </is>
      </c>
      <c r="E395" t="inlineStr">
        <is>
          <t>UPPVIDINGE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63506-2020</t>
        </is>
      </c>
      <c r="B396" s="1" t="n">
        <v>44165</v>
      </c>
      <c r="C396" s="1" t="n">
        <v>45883</v>
      </c>
      <c r="D396" t="inlineStr">
        <is>
          <t>KRONOBERGS LÄN</t>
        </is>
      </c>
      <c r="E396" t="inlineStr">
        <is>
          <t>UPPVIDINGE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29154-2023</t>
        </is>
      </c>
      <c r="B397" s="1" t="n">
        <v>45105.47802083333</v>
      </c>
      <c r="C397" s="1" t="n">
        <v>45883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57000-2023</t>
        </is>
      </c>
      <c r="B398" s="1" t="n">
        <v>45244.67376157407</v>
      </c>
      <c r="C398" s="1" t="n">
        <v>45883</v>
      </c>
      <c r="D398" t="inlineStr">
        <is>
          <t>KRONOBERGS LÄN</t>
        </is>
      </c>
      <c r="E398" t="inlineStr">
        <is>
          <t>UPPVIDINGE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16939-2025</t>
        </is>
      </c>
      <c r="B399" s="1" t="n">
        <v>45755.42104166667</v>
      </c>
      <c r="C399" s="1" t="n">
        <v>45883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48237-2024</t>
        </is>
      </c>
      <c r="B400" s="1" t="n">
        <v>45590.38761574074</v>
      </c>
      <c r="C400" s="1" t="n">
        <v>45883</v>
      </c>
      <c r="D400" t="inlineStr">
        <is>
          <t>KRONOBERGS LÄN</t>
        </is>
      </c>
      <c r="E400" t="inlineStr">
        <is>
          <t>UPPVIDINGE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16259-2025</t>
        </is>
      </c>
      <c r="B401" s="1" t="n">
        <v>45749</v>
      </c>
      <c r="C401" s="1" t="n">
        <v>45883</v>
      </c>
      <c r="D401" t="inlineStr">
        <is>
          <t>KRONOBERGS LÄN</t>
        </is>
      </c>
      <c r="E401" t="inlineStr">
        <is>
          <t>UPPVIDINGE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19056-2025</t>
        </is>
      </c>
      <c r="B402" s="1" t="n">
        <v>45764</v>
      </c>
      <c r="C402" s="1" t="n">
        <v>45883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24491-2024</t>
        </is>
      </c>
      <c r="B403" s="1" t="n">
        <v>45459.71949074074</v>
      </c>
      <c r="C403" s="1" t="n">
        <v>45883</v>
      </c>
      <c r="D403" t="inlineStr">
        <is>
          <t>KRONOBERGS LÄN</t>
        </is>
      </c>
      <c r="E403" t="inlineStr">
        <is>
          <t>UPPVIDINGE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37373-2024</t>
        </is>
      </c>
      <c r="B404" s="1" t="n">
        <v>45540.56981481481</v>
      </c>
      <c r="C404" s="1" t="n">
        <v>45883</v>
      </c>
      <c r="D404" t="inlineStr">
        <is>
          <t>KRONOBERGS LÄN</t>
        </is>
      </c>
      <c r="E404" t="inlineStr">
        <is>
          <t>UPPVIDINGE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13409-2023</t>
        </is>
      </c>
      <c r="B405" s="1" t="n">
        <v>45005</v>
      </c>
      <c r="C405" s="1" t="n">
        <v>45883</v>
      </c>
      <c r="D405" t="inlineStr">
        <is>
          <t>KRONOBERGS LÄN</t>
        </is>
      </c>
      <c r="E405" t="inlineStr">
        <is>
          <t>UPPVIDINGE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4712-2022</t>
        </is>
      </c>
      <c r="B406" s="1" t="n">
        <v>44592.50912037037</v>
      </c>
      <c r="C406" s="1" t="n">
        <v>45883</v>
      </c>
      <c r="D406" t="inlineStr">
        <is>
          <t>KRONOBERGS LÄN</t>
        </is>
      </c>
      <c r="E406" t="inlineStr">
        <is>
          <t>UPPVIDINGE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48646-2020</t>
        </is>
      </c>
      <c r="B407" s="1" t="n">
        <v>44098</v>
      </c>
      <c r="C407" s="1" t="n">
        <v>45883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10700-2024</t>
        </is>
      </c>
      <c r="B408" s="1" t="n">
        <v>45369.42203703704</v>
      </c>
      <c r="C408" s="1" t="n">
        <v>45883</v>
      </c>
      <c r="D408" t="inlineStr">
        <is>
          <t>KRONOBERGS LÄN</t>
        </is>
      </c>
      <c r="E408" t="inlineStr">
        <is>
          <t>UPPVIDINGE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27843-2023</t>
        </is>
      </c>
      <c r="B409" s="1" t="n">
        <v>45098</v>
      </c>
      <c r="C409" s="1" t="n">
        <v>45883</v>
      </c>
      <c r="D409" t="inlineStr">
        <is>
          <t>KRONOBERGS LÄN</t>
        </is>
      </c>
      <c r="E409" t="inlineStr">
        <is>
          <t>UPPVIDINGE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2420-2025</t>
        </is>
      </c>
      <c r="B410" s="1" t="n">
        <v>45674.38413194445</v>
      </c>
      <c r="C410" s="1" t="n">
        <v>45883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48438-2024</t>
        </is>
      </c>
      <c r="B411" s="1" t="n">
        <v>45590</v>
      </c>
      <c r="C411" s="1" t="n">
        <v>45883</v>
      </c>
      <c r="D411" t="inlineStr">
        <is>
          <t>KRONOBERGS LÄN</t>
        </is>
      </c>
      <c r="E411" t="inlineStr">
        <is>
          <t>UPPVIDINGE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57660-2020</t>
        </is>
      </c>
      <c r="B412" s="1" t="n">
        <v>44140</v>
      </c>
      <c r="C412" s="1" t="n">
        <v>45883</v>
      </c>
      <c r="D412" t="inlineStr">
        <is>
          <t>KRONOBERGS LÄN</t>
        </is>
      </c>
      <c r="E412" t="inlineStr">
        <is>
          <t>UPPVIDINGE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19584-2023</t>
        </is>
      </c>
      <c r="B413" s="1" t="n">
        <v>45049</v>
      </c>
      <c r="C413" s="1" t="n">
        <v>45883</v>
      </c>
      <c r="D413" t="inlineStr">
        <is>
          <t>KRONOBERGS LÄN</t>
        </is>
      </c>
      <c r="E413" t="inlineStr">
        <is>
          <t>UPPVIDINGE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51515-2024</t>
        </is>
      </c>
      <c r="B414" s="1" t="n">
        <v>45604.56427083333</v>
      </c>
      <c r="C414" s="1" t="n">
        <v>45883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51516-2024</t>
        </is>
      </c>
      <c r="B415" s="1" t="n">
        <v>45604.56517361111</v>
      </c>
      <c r="C415" s="1" t="n">
        <v>45883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18236-2025</t>
        </is>
      </c>
      <c r="B416" s="1" t="n">
        <v>45761.93880787037</v>
      </c>
      <c r="C416" s="1" t="n">
        <v>45883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51518-2024</t>
        </is>
      </c>
      <c r="B417" s="1" t="n">
        <v>45604.56623842593</v>
      </c>
      <c r="C417" s="1" t="n">
        <v>45883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44797-2023</t>
        </is>
      </c>
      <c r="B418" s="1" t="n">
        <v>45190.47119212963</v>
      </c>
      <c r="C418" s="1" t="n">
        <v>45883</v>
      </c>
      <c r="D418" t="inlineStr">
        <is>
          <t>KRONOBERGS LÄN</t>
        </is>
      </c>
      <c r="E418" t="inlineStr">
        <is>
          <t>UPPVIDINGE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6119-2022</t>
        </is>
      </c>
      <c r="B419" s="1" t="n">
        <v>44599</v>
      </c>
      <c r="C419" s="1" t="n">
        <v>45883</v>
      </c>
      <c r="D419" t="inlineStr">
        <is>
          <t>KRONOBERGS LÄN</t>
        </is>
      </c>
      <c r="E419" t="inlineStr">
        <is>
          <t>UPPVIDINGE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8163-2025</t>
        </is>
      </c>
      <c r="B420" s="1" t="n">
        <v>45708.35037037037</v>
      </c>
      <c r="C420" s="1" t="n">
        <v>45883</v>
      </c>
      <c r="D420" t="inlineStr">
        <is>
          <t>KRONOBERGS LÄN</t>
        </is>
      </c>
      <c r="E420" t="inlineStr">
        <is>
          <t>UPPVIDINGE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28090-2024</t>
        </is>
      </c>
      <c r="B421" s="1" t="n">
        <v>45476</v>
      </c>
      <c r="C421" s="1" t="n">
        <v>45883</v>
      </c>
      <c r="D421" t="inlineStr">
        <is>
          <t>KRONOBERGS LÄN</t>
        </is>
      </c>
      <c r="E421" t="inlineStr">
        <is>
          <t>UPPVIDINGE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5274-2025</t>
        </is>
      </c>
      <c r="B422" s="1" t="n">
        <v>45692.42515046296</v>
      </c>
      <c r="C422" s="1" t="n">
        <v>45883</v>
      </c>
      <c r="D422" t="inlineStr">
        <is>
          <t>KRONOBERGS LÄN</t>
        </is>
      </c>
      <c r="E422" t="inlineStr">
        <is>
          <t>UPPVIDINGE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60190-2020</t>
        </is>
      </c>
      <c r="B423" s="1" t="n">
        <v>44152</v>
      </c>
      <c r="C423" s="1" t="n">
        <v>45883</v>
      </c>
      <c r="D423" t="inlineStr">
        <is>
          <t>KRONOBERGS LÄN</t>
        </is>
      </c>
      <c r="E423" t="inlineStr">
        <is>
          <t>UPPVIDINGE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10489-2024</t>
        </is>
      </c>
      <c r="B424" s="1" t="n">
        <v>45366</v>
      </c>
      <c r="C424" s="1" t="n">
        <v>45883</v>
      </c>
      <c r="D424" t="inlineStr">
        <is>
          <t>KRONOBERGS LÄN</t>
        </is>
      </c>
      <c r="E424" t="inlineStr">
        <is>
          <t>UPPVIDINGE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61087-2020</t>
        </is>
      </c>
      <c r="B425" s="1" t="n">
        <v>44154</v>
      </c>
      <c r="C425" s="1" t="n">
        <v>45883</v>
      </c>
      <c r="D425" t="inlineStr">
        <is>
          <t>KRONOBERGS LÄN</t>
        </is>
      </c>
      <c r="E425" t="inlineStr">
        <is>
          <t>UPPVIDINGE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48024-2023</t>
        </is>
      </c>
      <c r="B426" s="1" t="n">
        <v>45204</v>
      </c>
      <c r="C426" s="1" t="n">
        <v>45883</v>
      </c>
      <c r="D426" t="inlineStr">
        <is>
          <t>KRONOBERGS LÄN</t>
        </is>
      </c>
      <c r="E426" t="inlineStr">
        <is>
          <t>UPPVIDINGE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67620-2021</t>
        </is>
      </c>
      <c r="B427" s="1" t="n">
        <v>44524.66444444445</v>
      </c>
      <c r="C427" s="1" t="n">
        <v>45883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22765-2021</t>
        </is>
      </c>
      <c r="B428" s="1" t="n">
        <v>44327</v>
      </c>
      <c r="C428" s="1" t="n">
        <v>45883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62514-2021</t>
        </is>
      </c>
      <c r="B429" s="1" t="n">
        <v>44503.58450231481</v>
      </c>
      <c r="C429" s="1" t="n">
        <v>45883</v>
      </c>
      <c r="D429" t="inlineStr">
        <is>
          <t>KRONOBERGS LÄN</t>
        </is>
      </c>
      <c r="E429" t="inlineStr">
        <is>
          <t>UPPVIDINGE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7893-2024</t>
        </is>
      </c>
      <c r="B430" s="1" t="n">
        <v>45349</v>
      </c>
      <c r="C430" s="1" t="n">
        <v>45883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7979-2024</t>
        </is>
      </c>
      <c r="B431" s="1" t="n">
        <v>45348</v>
      </c>
      <c r="C431" s="1" t="n">
        <v>45883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7981-2024</t>
        </is>
      </c>
      <c r="B432" s="1" t="n">
        <v>45348</v>
      </c>
      <c r="C432" s="1" t="n">
        <v>45883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53260-2023</t>
        </is>
      </c>
      <c r="B433" s="1" t="n">
        <v>45229.53780092593</v>
      </c>
      <c r="C433" s="1" t="n">
        <v>45883</v>
      </c>
      <c r="D433" t="inlineStr">
        <is>
          <t>KRONOBERGS LÄN</t>
        </is>
      </c>
      <c r="E433" t="inlineStr">
        <is>
          <t>UPPVIDINGE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26204-2023</t>
        </is>
      </c>
      <c r="B434" s="1" t="n">
        <v>45091</v>
      </c>
      <c r="C434" s="1" t="n">
        <v>45883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12894-2023</t>
        </is>
      </c>
      <c r="B435" s="1" t="n">
        <v>45001</v>
      </c>
      <c r="C435" s="1" t="n">
        <v>45883</v>
      </c>
      <c r="D435" t="inlineStr">
        <is>
          <t>KRONOBERGS LÄN</t>
        </is>
      </c>
      <c r="E435" t="inlineStr">
        <is>
          <t>UPPVIDINGE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2884-2025</t>
        </is>
      </c>
      <c r="B436" s="1" t="n">
        <v>45677.70096064815</v>
      </c>
      <c r="C436" s="1" t="n">
        <v>45883</v>
      </c>
      <c r="D436" t="inlineStr">
        <is>
          <t>KRONOBERGS LÄN</t>
        </is>
      </c>
      <c r="E436" t="inlineStr">
        <is>
          <t>UPPVIDINGE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24858-2023</t>
        </is>
      </c>
      <c r="B437" s="1" t="n">
        <v>45085</v>
      </c>
      <c r="C437" s="1" t="n">
        <v>45883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16081-2025</t>
        </is>
      </c>
      <c r="B438" s="1" t="n">
        <v>45749.74931712963</v>
      </c>
      <c r="C438" s="1" t="n">
        <v>45883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60849-2020</t>
        </is>
      </c>
      <c r="B439" s="1" t="n">
        <v>44154</v>
      </c>
      <c r="C439" s="1" t="n">
        <v>45883</v>
      </c>
      <c r="D439" t="inlineStr">
        <is>
          <t>KRONOBERGS LÄN</t>
        </is>
      </c>
      <c r="E439" t="inlineStr">
        <is>
          <t>UPPVIDINGE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9683-2025</t>
        </is>
      </c>
      <c r="B440" s="1" t="n">
        <v>45716.34958333334</v>
      </c>
      <c r="C440" s="1" t="n">
        <v>45883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27789-2023</t>
        </is>
      </c>
      <c r="B441" s="1" t="n">
        <v>45098.44975694444</v>
      </c>
      <c r="C441" s="1" t="n">
        <v>45883</v>
      </c>
      <c r="D441" t="inlineStr">
        <is>
          <t>KRONOBERGS LÄN</t>
        </is>
      </c>
      <c r="E441" t="inlineStr">
        <is>
          <t>UPPVIDINGE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15925-2025</t>
        </is>
      </c>
      <c r="B442" s="1" t="n">
        <v>45749.46461805556</v>
      </c>
      <c r="C442" s="1" t="n">
        <v>45883</v>
      </c>
      <c r="D442" t="inlineStr">
        <is>
          <t>KRONOBERGS LÄN</t>
        </is>
      </c>
      <c r="E442" t="inlineStr">
        <is>
          <t>UPPVIDINGE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65115-2023</t>
        </is>
      </c>
      <c r="B443" s="1" t="n">
        <v>45288.46611111111</v>
      </c>
      <c r="C443" s="1" t="n">
        <v>45883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20488-2024</t>
        </is>
      </c>
      <c r="B444" s="1" t="n">
        <v>45435.77655092593</v>
      </c>
      <c r="C444" s="1" t="n">
        <v>45883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24455-2023</t>
        </is>
      </c>
      <c r="B445" s="1" t="n">
        <v>45082.56950231481</v>
      </c>
      <c r="C445" s="1" t="n">
        <v>45883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51512-2024</t>
        </is>
      </c>
      <c r="B446" s="1" t="n">
        <v>45604.56101851852</v>
      </c>
      <c r="C446" s="1" t="n">
        <v>45883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51513-2024</t>
        </is>
      </c>
      <c r="B447" s="1" t="n">
        <v>45604.56190972222</v>
      </c>
      <c r="C447" s="1" t="n">
        <v>45883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51523-2024</t>
        </is>
      </c>
      <c r="B448" s="1" t="n">
        <v>45604.56958333333</v>
      </c>
      <c r="C448" s="1" t="n">
        <v>45883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11644-2023</t>
        </is>
      </c>
      <c r="B449" s="1" t="n">
        <v>44994.45271990741</v>
      </c>
      <c r="C449" s="1" t="n">
        <v>45883</v>
      </c>
      <c r="D449" t="inlineStr">
        <is>
          <t>KRONOBERGS LÄN</t>
        </is>
      </c>
      <c r="E449" t="inlineStr">
        <is>
          <t>UPPVIDINGE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608-2025</t>
        </is>
      </c>
      <c r="B450" s="1" t="n">
        <v>45660</v>
      </c>
      <c r="C450" s="1" t="n">
        <v>45883</v>
      </c>
      <c r="D450" t="inlineStr">
        <is>
          <t>KRONOBERGS LÄN</t>
        </is>
      </c>
      <c r="E450" t="inlineStr">
        <is>
          <t>UPPVIDINGE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37251-2021</t>
        </is>
      </c>
      <c r="B451" s="1" t="n">
        <v>44396</v>
      </c>
      <c r="C451" s="1" t="n">
        <v>45883</v>
      </c>
      <c r="D451" t="inlineStr">
        <is>
          <t>KRONOBERGS LÄN</t>
        </is>
      </c>
      <c r="E451" t="inlineStr">
        <is>
          <t>UPPVIDINGE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60370-2021</t>
        </is>
      </c>
      <c r="B452" s="1" t="n">
        <v>44496</v>
      </c>
      <c r="C452" s="1" t="n">
        <v>45883</v>
      </c>
      <c r="D452" t="inlineStr">
        <is>
          <t>KRONOBERGS LÄN</t>
        </is>
      </c>
      <c r="E452" t="inlineStr">
        <is>
          <t>UPPVIDINGE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30128-2024</t>
        </is>
      </c>
      <c r="B453" s="1" t="n">
        <v>45489.50666666667</v>
      </c>
      <c r="C453" s="1" t="n">
        <v>45883</v>
      </c>
      <c r="D453" t="inlineStr">
        <is>
          <t>KRONOBERGS LÄN</t>
        </is>
      </c>
      <c r="E453" t="inlineStr">
        <is>
          <t>UPPVIDINGE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8354-2022</t>
        </is>
      </c>
      <c r="B454" s="1" t="n">
        <v>44610</v>
      </c>
      <c r="C454" s="1" t="n">
        <v>45883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36193-2023</t>
        </is>
      </c>
      <c r="B455" s="1" t="n">
        <v>45149</v>
      </c>
      <c r="C455" s="1" t="n">
        <v>45883</v>
      </c>
      <c r="D455" t="inlineStr">
        <is>
          <t>KRONOBERGS LÄN</t>
        </is>
      </c>
      <c r="E455" t="inlineStr">
        <is>
          <t>UPPVIDINGE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36536-2024</t>
        </is>
      </c>
      <c r="B456" s="1" t="n">
        <v>45537.45255787037</v>
      </c>
      <c r="C456" s="1" t="n">
        <v>45883</v>
      </c>
      <c r="D456" t="inlineStr">
        <is>
          <t>KRONOBERGS LÄN</t>
        </is>
      </c>
      <c r="E456" t="inlineStr">
        <is>
          <t>UPPVIDINGE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41805-2024</t>
        </is>
      </c>
      <c r="B457" s="1" t="n">
        <v>45561.37106481481</v>
      </c>
      <c r="C457" s="1" t="n">
        <v>45883</v>
      </c>
      <c r="D457" t="inlineStr">
        <is>
          <t>KRONOBERGS LÄN</t>
        </is>
      </c>
      <c r="E457" t="inlineStr">
        <is>
          <t>UPPVIDINGE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43378-2024</t>
        </is>
      </c>
      <c r="B458" s="1" t="n">
        <v>45568</v>
      </c>
      <c r="C458" s="1" t="n">
        <v>45883</v>
      </c>
      <c r="D458" t="inlineStr">
        <is>
          <t>KRONOBERGS LÄN</t>
        </is>
      </c>
      <c r="E458" t="inlineStr">
        <is>
          <t>UPPVIDINGE</t>
        </is>
      </c>
      <c r="F458" t="inlineStr">
        <is>
          <t>Kyrkan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43405-2024</t>
        </is>
      </c>
      <c r="B459" s="1" t="n">
        <v>45568</v>
      </c>
      <c r="C459" s="1" t="n">
        <v>45883</v>
      </c>
      <c r="D459" t="inlineStr">
        <is>
          <t>KRONOBERGS LÄN</t>
        </is>
      </c>
      <c r="E459" t="inlineStr">
        <is>
          <t>UPPVIDINGE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2268-2023</t>
        </is>
      </c>
      <c r="B460" s="1" t="n">
        <v>44942.49850694444</v>
      </c>
      <c r="C460" s="1" t="n">
        <v>45883</v>
      </c>
      <c r="D460" t="inlineStr">
        <is>
          <t>KRONOBERGS LÄN</t>
        </is>
      </c>
      <c r="E460" t="inlineStr">
        <is>
          <t>UPPVIDINGE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39734-2024</t>
        </is>
      </c>
      <c r="B461" s="1" t="n">
        <v>45552.6449537037</v>
      </c>
      <c r="C461" s="1" t="n">
        <v>45883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39738-2024</t>
        </is>
      </c>
      <c r="B462" s="1" t="n">
        <v>45552</v>
      </c>
      <c r="C462" s="1" t="n">
        <v>45883</v>
      </c>
      <c r="D462" t="inlineStr">
        <is>
          <t>KRONOBERGS LÄN</t>
        </is>
      </c>
      <c r="E462" t="inlineStr">
        <is>
          <t>UPPVIDINGE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61086-2020</t>
        </is>
      </c>
      <c r="B463" s="1" t="n">
        <v>44154</v>
      </c>
      <c r="C463" s="1" t="n">
        <v>45883</v>
      </c>
      <c r="D463" t="inlineStr">
        <is>
          <t>KRONOBERGS LÄN</t>
        </is>
      </c>
      <c r="E463" t="inlineStr">
        <is>
          <t>UPPVIDINGE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3606-2024</t>
        </is>
      </c>
      <c r="B464" s="1" t="n">
        <v>45320</v>
      </c>
      <c r="C464" s="1" t="n">
        <v>45883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15496-2025</t>
        </is>
      </c>
      <c r="B465" s="1" t="n">
        <v>45747</v>
      </c>
      <c r="C465" s="1" t="n">
        <v>45883</v>
      </c>
      <c r="D465" t="inlineStr">
        <is>
          <t>KRONOBERGS LÄN</t>
        </is>
      </c>
      <c r="E465" t="inlineStr">
        <is>
          <t>UPPVIDINGE</t>
        </is>
      </c>
      <c r="F465" t="inlineStr">
        <is>
          <t>Kommuner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15519-2025</t>
        </is>
      </c>
      <c r="B466" s="1" t="n">
        <v>45747.61878472222</v>
      </c>
      <c r="C466" s="1" t="n">
        <v>45883</v>
      </c>
      <c r="D466" t="inlineStr">
        <is>
          <t>KRONOBERGS LÄN</t>
        </is>
      </c>
      <c r="E466" t="inlineStr">
        <is>
          <t>UPPVIDINGE</t>
        </is>
      </c>
      <c r="F466" t="inlineStr">
        <is>
          <t>Kommuner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15526-2025</t>
        </is>
      </c>
      <c r="B467" s="1" t="n">
        <v>45747</v>
      </c>
      <c r="C467" s="1" t="n">
        <v>45883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6251-2025</t>
        </is>
      </c>
      <c r="B468" s="1" t="n">
        <v>45698</v>
      </c>
      <c r="C468" s="1" t="n">
        <v>45883</v>
      </c>
      <c r="D468" t="inlineStr">
        <is>
          <t>KRONOBERGS LÄN</t>
        </is>
      </c>
      <c r="E468" t="inlineStr">
        <is>
          <t>UPPVIDINGE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33591-2022</t>
        </is>
      </c>
      <c r="B469" s="1" t="n">
        <v>44789.46129629629</v>
      </c>
      <c r="C469" s="1" t="n">
        <v>45883</v>
      </c>
      <c r="D469" t="inlineStr">
        <is>
          <t>KRONOBERGS LÄN</t>
        </is>
      </c>
      <c r="E469" t="inlineStr">
        <is>
          <t>UPPVIDINGE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30886-2023</t>
        </is>
      </c>
      <c r="B470" s="1" t="n">
        <v>45113.36457175926</v>
      </c>
      <c r="C470" s="1" t="n">
        <v>45883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14640-2023</t>
        </is>
      </c>
      <c r="B471" s="1" t="n">
        <v>45013</v>
      </c>
      <c r="C471" s="1" t="n">
        <v>45883</v>
      </c>
      <c r="D471" t="inlineStr">
        <is>
          <t>KRONOBERGS LÄN</t>
        </is>
      </c>
      <c r="E471" t="inlineStr">
        <is>
          <t>UPPVIDINGE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16936-2025</t>
        </is>
      </c>
      <c r="B472" s="1" t="n">
        <v>45755.41075231481</v>
      </c>
      <c r="C472" s="1" t="n">
        <v>45883</v>
      </c>
      <c r="D472" t="inlineStr">
        <is>
          <t>KRONOBERGS LÄN</t>
        </is>
      </c>
      <c r="E472" t="inlineStr">
        <is>
          <t>UPPVIDINGE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64072-2023</t>
        </is>
      </c>
      <c r="B473" s="1" t="n">
        <v>45279.37215277777</v>
      </c>
      <c r="C473" s="1" t="n">
        <v>45883</v>
      </c>
      <c r="D473" t="inlineStr">
        <is>
          <t>KRONOBERGS LÄN</t>
        </is>
      </c>
      <c r="E473" t="inlineStr">
        <is>
          <t>UPPVIDINGE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51417-2023</t>
        </is>
      </c>
      <c r="B474" s="1" t="n">
        <v>45219.79758101852</v>
      </c>
      <c r="C474" s="1" t="n">
        <v>45883</v>
      </c>
      <c r="D474" t="inlineStr">
        <is>
          <t>KRONOBERGS LÄN</t>
        </is>
      </c>
      <c r="E474" t="inlineStr">
        <is>
          <t>UPPVIDINGE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23713-2024</t>
        </is>
      </c>
      <c r="B475" s="1" t="n">
        <v>45454.73629629629</v>
      </c>
      <c r="C475" s="1" t="n">
        <v>45883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13915-2025</t>
        </is>
      </c>
      <c r="B476" s="1" t="n">
        <v>45737.65526620371</v>
      </c>
      <c r="C476" s="1" t="n">
        <v>45883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24935-2023</t>
        </is>
      </c>
      <c r="B477" s="1" t="n">
        <v>45085.53467592593</v>
      </c>
      <c r="C477" s="1" t="n">
        <v>45883</v>
      </c>
      <c r="D477" t="inlineStr">
        <is>
          <t>KRONOBERGS LÄN</t>
        </is>
      </c>
      <c r="E477" t="inlineStr">
        <is>
          <t>UPPVIDINGE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15578-2024</t>
        </is>
      </c>
      <c r="B478" s="1" t="n">
        <v>45401.690625</v>
      </c>
      <c r="C478" s="1" t="n">
        <v>45883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60943-2020</t>
        </is>
      </c>
      <c r="B479" s="1" t="n">
        <v>44154</v>
      </c>
      <c r="C479" s="1" t="n">
        <v>45883</v>
      </c>
      <c r="D479" t="inlineStr">
        <is>
          <t>KRONOBERGS LÄN</t>
        </is>
      </c>
      <c r="E479" t="inlineStr">
        <is>
          <t>UPPVIDINGE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19072-2024</t>
        </is>
      </c>
      <c r="B480" s="1" t="n">
        <v>45427.9417824074</v>
      </c>
      <c r="C480" s="1" t="n">
        <v>45883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12109-2025</t>
        </is>
      </c>
      <c r="B481" s="1" t="n">
        <v>45729.35393518519</v>
      </c>
      <c r="C481" s="1" t="n">
        <v>45883</v>
      </c>
      <c r="D481" t="inlineStr">
        <is>
          <t>KRONOBERGS LÄN</t>
        </is>
      </c>
      <c r="E481" t="inlineStr">
        <is>
          <t>UPPVIDINGE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19237-2024</t>
        </is>
      </c>
      <c r="B482" s="1" t="n">
        <v>45428.57160879629</v>
      </c>
      <c r="C482" s="1" t="n">
        <v>45883</v>
      </c>
      <c r="D482" t="inlineStr">
        <is>
          <t>KRONOBERGS LÄN</t>
        </is>
      </c>
      <c r="E482" t="inlineStr">
        <is>
          <t>UPPVIDINGE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19239-2024</t>
        </is>
      </c>
      <c r="B483" s="1" t="n">
        <v>45428.57215277778</v>
      </c>
      <c r="C483" s="1" t="n">
        <v>45883</v>
      </c>
      <c r="D483" t="inlineStr">
        <is>
          <t>KRONOBERGS LÄN</t>
        </is>
      </c>
      <c r="E483" t="inlineStr">
        <is>
          <t>UPPVIDINGE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6326-2024</t>
        </is>
      </c>
      <c r="B484" s="1" t="n">
        <v>45338</v>
      </c>
      <c r="C484" s="1" t="n">
        <v>45883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6332-2024</t>
        </is>
      </c>
      <c r="B485" s="1" t="n">
        <v>45338</v>
      </c>
      <c r="C485" s="1" t="n">
        <v>45883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7516-2024</t>
        </is>
      </c>
      <c r="B486" s="1" t="n">
        <v>45348.33475694444</v>
      </c>
      <c r="C486" s="1" t="n">
        <v>45883</v>
      </c>
      <c r="D486" t="inlineStr">
        <is>
          <t>KRONOBERGS LÄN</t>
        </is>
      </c>
      <c r="E486" t="inlineStr">
        <is>
          <t>UPPVIDINGE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9687-2025</t>
        </is>
      </c>
      <c r="B487" s="1" t="n">
        <v>45716.3528125</v>
      </c>
      <c r="C487" s="1" t="n">
        <v>45883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15406-2023</t>
        </is>
      </c>
      <c r="B488" s="1" t="n">
        <v>45019</v>
      </c>
      <c r="C488" s="1" t="n">
        <v>45883</v>
      </c>
      <c r="D488" t="inlineStr">
        <is>
          <t>KRONOBERGS LÄN</t>
        </is>
      </c>
      <c r="E488" t="inlineStr">
        <is>
          <t>UPPVIDINGE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2265-2023</t>
        </is>
      </c>
      <c r="B489" s="1" t="n">
        <v>44942</v>
      </c>
      <c r="C489" s="1" t="n">
        <v>45883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5282-2025</t>
        </is>
      </c>
      <c r="B490" s="1" t="n">
        <v>45692</v>
      </c>
      <c r="C490" s="1" t="n">
        <v>45883</v>
      </c>
      <c r="D490" t="inlineStr">
        <is>
          <t>KRONOBERGS LÄN</t>
        </is>
      </c>
      <c r="E490" t="inlineStr">
        <is>
          <t>UPPVIDINGE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56038-2023</t>
        </is>
      </c>
      <c r="B491" s="1" t="n">
        <v>45233</v>
      </c>
      <c r="C491" s="1" t="n">
        <v>45883</v>
      </c>
      <c r="D491" t="inlineStr">
        <is>
          <t>KRONOBERGS LÄN</t>
        </is>
      </c>
      <c r="E491" t="inlineStr">
        <is>
          <t>UPPVIDINGE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49618-2023</t>
        </is>
      </c>
      <c r="B492" s="1" t="n">
        <v>45211.81873842593</v>
      </c>
      <c r="C492" s="1" t="n">
        <v>45883</v>
      </c>
      <c r="D492" t="inlineStr">
        <is>
          <t>KRONOBERGS LÄN</t>
        </is>
      </c>
      <c r="E492" t="inlineStr">
        <is>
          <t>UPPVIDINGE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12339-2023</t>
        </is>
      </c>
      <c r="B493" s="1" t="n">
        <v>44998</v>
      </c>
      <c r="C493" s="1" t="n">
        <v>45883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35496-2023</t>
        </is>
      </c>
      <c r="B494" s="1" t="n">
        <v>45146</v>
      </c>
      <c r="C494" s="1" t="n">
        <v>45883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61843-2024</t>
        </is>
      </c>
      <c r="B495" s="1" t="n">
        <v>45649.6427662037</v>
      </c>
      <c r="C495" s="1" t="n">
        <v>45883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28445-2023</t>
        </is>
      </c>
      <c r="B496" s="1" t="n">
        <v>45103</v>
      </c>
      <c r="C496" s="1" t="n">
        <v>45883</v>
      </c>
      <c r="D496" t="inlineStr">
        <is>
          <t>KRONOBERGS LÄN</t>
        </is>
      </c>
      <c r="E496" t="inlineStr">
        <is>
          <t>UPPVIDINGE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2332-2023</t>
        </is>
      </c>
      <c r="B497" s="1" t="n">
        <v>44942.60704861111</v>
      </c>
      <c r="C497" s="1" t="n">
        <v>45883</v>
      </c>
      <c r="D497" t="inlineStr">
        <is>
          <t>KRONOBERGS LÄN</t>
        </is>
      </c>
      <c r="E497" t="inlineStr">
        <is>
          <t>UPPVIDINGE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3545-2024</t>
        </is>
      </c>
      <c r="B498" s="1" t="n">
        <v>45320.58873842593</v>
      </c>
      <c r="C498" s="1" t="n">
        <v>45883</v>
      </c>
      <c r="D498" t="inlineStr">
        <is>
          <t>KRONOBERGS LÄN</t>
        </is>
      </c>
      <c r="E498" t="inlineStr">
        <is>
          <t>UPPVIDINGE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4823-2022</t>
        </is>
      </c>
      <c r="B499" s="1" t="n">
        <v>44592.72989583333</v>
      </c>
      <c r="C499" s="1" t="n">
        <v>45883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4799-2025</t>
        </is>
      </c>
      <c r="B500" s="1" t="n">
        <v>45688.58755787037</v>
      </c>
      <c r="C500" s="1" t="n">
        <v>45883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4825-2025</t>
        </is>
      </c>
      <c r="B501" s="1" t="n">
        <v>45688.63835648148</v>
      </c>
      <c r="C501" s="1" t="n">
        <v>45883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16643-2024</t>
        </is>
      </c>
      <c r="B502" s="1" t="n">
        <v>45408.61435185185</v>
      </c>
      <c r="C502" s="1" t="n">
        <v>45883</v>
      </c>
      <c r="D502" t="inlineStr">
        <is>
          <t>KRONOBERGS LÄN</t>
        </is>
      </c>
      <c r="E502" t="inlineStr">
        <is>
          <t>UPPVIDINGE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6342-2024</t>
        </is>
      </c>
      <c r="B503" s="1" t="n">
        <v>45338.43358796297</v>
      </c>
      <c r="C503" s="1" t="n">
        <v>45883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6343-2024</t>
        </is>
      </c>
      <c r="B504" s="1" t="n">
        <v>45338</v>
      </c>
      <c r="C504" s="1" t="n">
        <v>45883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6345-2024</t>
        </is>
      </c>
      <c r="B505" s="1" t="n">
        <v>45338</v>
      </c>
      <c r="C505" s="1" t="n">
        <v>45883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60730-2024</t>
        </is>
      </c>
      <c r="B506" s="1" t="n">
        <v>45642</v>
      </c>
      <c r="C506" s="1" t="n">
        <v>45883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51521-2024</t>
        </is>
      </c>
      <c r="B507" s="1" t="n">
        <v>45604.5687962963</v>
      </c>
      <c r="C507" s="1" t="n">
        <v>45883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42755-2023</t>
        </is>
      </c>
      <c r="B508" s="1" t="n">
        <v>45181</v>
      </c>
      <c r="C508" s="1" t="n">
        <v>45883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9165-2025</t>
        </is>
      </c>
      <c r="B509" s="1" t="n">
        <v>45714.37306712963</v>
      </c>
      <c r="C509" s="1" t="n">
        <v>45883</v>
      </c>
      <c r="D509" t="inlineStr">
        <is>
          <t>KRONOBERGS LÄN</t>
        </is>
      </c>
      <c r="E509" t="inlineStr">
        <is>
          <t>UPPVIDINGE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45229-2024</t>
        </is>
      </c>
      <c r="B510" s="1" t="n">
        <v>45575.84530092592</v>
      </c>
      <c r="C510" s="1" t="n">
        <v>45883</v>
      </c>
      <c r="D510" t="inlineStr">
        <is>
          <t>KRONOBERGS LÄN</t>
        </is>
      </c>
      <c r="E510" t="inlineStr">
        <is>
          <t>UPPVIDINGE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9923-2023</t>
        </is>
      </c>
      <c r="B511" s="1" t="n">
        <v>44985</v>
      </c>
      <c r="C511" s="1" t="n">
        <v>45883</v>
      </c>
      <c r="D511" t="inlineStr">
        <is>
          <t>KRONOBERGS LÄN</t>
        </is>
      </c>
      <c r="E511" t="inlineStr">
        <is>
          <t>UPPVIDINGE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20515-2023</t>
        </is>
      </c>
      <c r="B512" s="1" t="n">
        <v>45057</v>
      </c>
      <c r="C512" s="1" t="n">
        <v>45883</v>
      </c>
      <c r="D512" t="inlineStr">
        <is>
          <t>KRONOBERGS LÄN</t>
        </is>
      </c>
      <c r="E512" t="inlineStr">
        <is>
          <t>UPPVIDINGE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19228-2024</t>
        </is>
      </c>
      <c r="B513" s="1" t="n">
        <v>45428.56533564815</v>
      </c>
      <c r="C513" s="1" t="n">
        <v>45883</v>
      </c>
      <c r="D513" t="inlineStr">
        <is>
          <t>KRONOBERGS LÄN</t>
        </is>
      </c>
      <c r="E513" t="inlineStr">
        <is>
          <t>UPPVIDINGE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19240-2024</t>
        </is>
      </c>
      <c r="B514" s="1" t="n">
        <v>45428.57266203704</v>
      </c>
      <c r="C514" s="1" t="n">
        <v>45883</v>
      </c>
      <c r="D514" t="inlineStr">
        <is>
          <t>KRONOBERGS LÄN</t>
        </is>
      </c>
      <c r="E514" t="inlineStr">
        <is>
          <t>UPPVIDINGE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51718-2024</t>
        </is>
      </c>
      <c r="B515" s="1" t="n">
        <v>45607.37846064815</v>
      </c>
      <c r="C515" s="1" t="n">
        <v>45883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26344-2024</t>
        </is>
      </c>
      <c r="B516" s="1" t="n">
        <v>45469.34783564815</v>
      </c>
      <c r="C516" s="1" t="n">
        <v>45883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36913-2023</t>
        </is>
      </c>
      <c r="B517" s="1" t="n">
        <v>45154.65458333334</v>
      </c>
      <c r="C517" s="1" t="n">
        <v>45883</v>
      </c>
      <c r="D517" t="inlineStr">
        <is>
          <t>KRONOBERGS LÄN</t>
        </is>
      </c>
      <c r="E517" t="inlineStr">
        <is>
          <t>UPPVIDINGE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11980-2025</t>
        </is>
      </c>
      <c r="B518" s="1" t="n">
        <v>45728</v>
      </c>
      <c r="C518" s="1" t="n">
        <v>45883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10930-2025</t>
        </is>
      </c>
      <c r="B519" s="1" t="n">
        <v>45722.96171296296</v>
      </c>
      <c r="C519" s="1" t="n">
        <v>45883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45749-2024</t>
        </is>
      </c>
      <c r="B520" s="1" t="n">
        <v>45579</v>
      </c>
      <c r="C520" s="1" t="n">
        <v>45883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20081-2024</t>
        </is>
      </c>
      <c r="B521" s="1" t="n">
        <v>45434.44790509259</v>
      </c>
      <c r="C521" s="1" t="n">
        <v>45883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19216-2024</t>
        </is>
      </c>
      <c r="B522" s="1" t="n">
        <v>45428.5499537037</v>
      </c>
      <c r="C522" s="1" t="n">
        <v>45883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19218-2024</t>
        </is>
      </c>
      <c r="B523" s="1" t="n">
        <v>45428.55199074074</v>
      </c>
      <c r="C523" s="1" t="n">
        <v>45883</v>
      </c>
      <c r="D523" t="inlineStr">
        <is>
          <t>KRONOBERGS LÄN</t>
        </is>
      </c>
      <c r="E523" t="inlineStr">
        <is>
          <t>UPPVIDINGE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9321-2021</t>
        </is>
      </c>
      <c r="B524" s="1" t="n">
        <v>44250</v>
      </c>
      <c r="C524" s="1" t="n">
        <v>45883</v>
      </c>
      <c r="D524" t="inlineStr">
        <is>
          <t>KRONOBERGS LÄN</t>
        </is>
      </c>
      <c r="E524" t="inlineStr">
        <is>
          <t>UPPVIDINGE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8433-2025</t>
        </is>
      </c>
      <c r="B525" s="1" t="n">
        <v>45709.42873842592</v>
      </c>
      <c r="C525" s="1" t="n">
        <v>45883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53296-2023</t>
        </is>
      </c>
      <c r="B526" s="1" t="n">
        <v>45229.58863425926</v>
      </c>
      <c r="C526" s="1" t="n">
        <v>45883</v>
      </c>
      <c r="D526" t="inlineStr">
        <is>
          <t>KRONOBERGS LÄN</t>
        </is>
      </c>
      <c r="E526" t="inlineStr">
        <is>
          <t>UPPVIDINGE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13711-2025</t>
        </is>
      </c>
      <c r="B527" s="1" t="n">
        <v>45737</v>
      </c>
      <c r="C527" s="1" t="n">
        <v>45883</v>
      </c>
      <c r="D527" t="inlineStr">
        <is>
          <t>KRONOBERGS LÄN</t>
        </is>
      </c>
      <c r="E527" t="inlineStr">
        <is>
          <t>UPPVIDINGE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15734-2024</t>
        </is>
      </c>
      <c r="B528" s="1" t="n">
        <v>45404</v>
      </c>
      <c r="C528" s="1" t="n">
        <v>45883</v>
      </c>
      <c r="D528" t="inlineStr">
        <is>
          <t>KRONOBERGS LÄN</t>
        </is>
      </c>
      <c r="E528" t="inlineStr">
        <is>
          <t>UPPVIDINGE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25929-2022</t>
        </is>
      </c>
      <c r="B529" s="1" t="n">
        <v>44734.3744212963</v>
      </c>
      <c r="C529" s="1" t="n">
        <v>45883</v>
      </c>
      <c r="D529" t="inlineStr">
        <is>
          <t>KRONOBERGS LÄN</t>
        </is>
      </c>
      <c r="E529" t="inlineStr">
        <is>
          <t>UPPVIDINGE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25931-2022</t>
        </is>
      </c>
      <c r="B530" s="1" t="n">
        <v>44734.37710648148</v>
      </c>
      <c r="C530" s="1" t="n">
        <v>45883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39133-2023</t>
        </is>
      </c>
      <c r="B531" s="1" t="n">
        <v>45165.77501157407</v>
      </c>
      <c r="C531" s="1" t="n">
        <v>45883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57127-2023</t>
        </is>
      </c>
      <c r="B532" s="1" t="n">
        <v>45245.37445601852</v>
      </c>
      <c r="C532" s="1" t="n">
        <v>45883</v>
      </c>
      <c r="D532" t="inlineStr">
        <is>
          <t>KRONOBERGS LÄN</t>
        </is>
      </c>
      <c r="E532" t="inlineStr">
        <is>
          <t>UPPVIDINGE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37682-2021</t>
        </is>
      </c>
      <c r="B533" s="1" t="n">
        <v>44400</v>
      </c>
      <c r="C533" s="1" t="n">
        <v>45883</v>
      </c>
      <c r="D533" t="inlineStr">
        <is>
          <t>KRONOBERGS LÄN</t>
        </is>
      </c>
      <c r="E533" t="inlineStr">
        <is>
          <t>UPPVIDINGE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59072-2024</t>
        </is>
      </c>
      <c r="B534" s="1" t="n">
        <v>45636.96761574074</v>
      </c>
      <c r="C534" s="1" t="n">
        <v>45883</v>
      </c>
      <c r="D534" t="inlineStr">
        <is>
          <t>KRONOBERGS LÄN</t>
        </is>
      </c>
      <c r="E534" t="inlineStr">
        <is>
          <t>UPPVIDINGE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15928-2025</t>
        </is>
      </c>
      <c r="B535" s="1" t="n">
        <v>45749.46740740741</v>
      </c>
      <c r="C535" s="1" t="n">
        <v>45883</v>
      </c>
      <c r="D535" t="inlineStr">
        <is>
          <t>KRONOBERGS LÄN</t>
        </is>
      </c>
      <c r="E535" t="inlineStr">
        <is>
          <t>UPPVIDINGE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36601-2023</t>
        </is>
      </c>
      <c r="B536" s="1" t="n">
        <v>45153</v>
      </c>
      <c r="C536" s="1" t="n">
        <v>45883</v>
      </c>
      <c r="D536" t="inlineStr">
        <is>
          <t>KRONOBERGS LÄN</t>
        </is>
      </c>
      <c r="E536" t="inlineStr">
        <is>
          <t>UPPVIDINGE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8430-2025</t>
        </is>
      </c>
      <c r="B537" s="1" t="n">
        <v>45709.42712962963</v>
      </c>
      <c r="C537" s="1" t="n">
        <v>45883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5500-2025</t>
        </is>
      </c>
      <c r="B538" s="1" t="n">
        <v>45692</v>
      </c>
      <c r="C538" s="1" t="n">
        <v>45883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31641-2024</t>
        </is>
      </c>
      <c r="B539" s="1" t="n">
        <v>45506.59847222222</v>
      </c>
      <c r="C539" s="1" t="n">
        <v>45883</v>
      </c>
      <c r="D539" t="inlineStr">
        <is>
          <t>KRONOBERGS LÄN</t>
        </is>
      </c>
      <c r="E539" t="inlineStr">
        <is>
          <t>UPPVIDINGE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8143-2025</t>
        </is>
      </c>
      <c r="B540" s="1" t="n">
        <v>45708.27960648148</v>
      </c>
      <c r="C540" s="1" t="n">
        <v>45883</v>
      </c>
      <c r="D540" t="inlineStr">
        <is>
          <t>KRONOBERGS LÄN</t>
        </is>
      </c>
      <c r="E540" t="inlineStr">
        <is>
          <t>UPPVIDINGE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7139-2025</t>
        </is>
      </c>
      <c r="B541" s="1" t="n">
        <v>45702.36793981482</v>
      </c>
      <c r="C541" s="1" t="n">
        <v>45883</v>
      </c>
      <c r="D541" t="inlineStr">
        <is>
          <t>KRONOBERGS LÄN</t>
        </is>
      </c>
      <c r="E541" t="inlineStr">
        <is>
          <t>UPPVIDINGE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4230-2025</t>
        </is>
      </c>
      <c r="B542" s="1" t="n">
        <v>45685.55012731482</v>
      </c>
      <c r="C542" s="1" t="n">
        <v>45883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10735-2025</t>
        </is>
      </c>
      <c r="B543" s="1" t="n">
        <v>45722.40604166667</v>
      </c>
      <c r="C543" s="1" t="n">
        <v>45883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35147-2024</t>
        </is>
      </c>
      <c r="B544" s="1" t="n">
        <v>45530.36846064815</v>
      </c>
      <c r="C544" s="1" t="n">
        <v>45883</v>
      </c>
      <c r="D544" t="inlineStr">
        <is>
          <t>KRONOBERGS LÄN</t>
        </is>
      </c>
      <c r="E544" t="inlineStr">
        <is>
          <t>UPPVIDINGE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59803-2024</t>
        </is>
      </c>
      <c r="B545" s="1" t="n">
        <v>45639.59918981481</v>
      </c>
      <c r="C545" s="1" t="n">
        <v>45883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10289-2025</t>
        </is>
      </c>
      <c r="B546" s="1" t="n">
        <v>45720.41747685185</v>
      </c>
      <c r="C546" s="1" t="n">
        <v>45883</v>
      </c>
      <c r="D546" t="inlineStr">
        <is>
          <t>KRONOBERGS LÄN</t>
        </is>
      </c>
      <c r="E546" t="inlineStr">
        <is>
          <t>UPPVIDINGE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5850-2024</t>
        </is>
      </c>
      <c r="B547" s="1" t="n">
        <v>45335.63466435186</v>
      </c>
      <c r="C547" s="1" t="n">
        <v>45883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60038-2024</t>
        </is>
      </c>
      <c r="B548" s="1" t="n">
        <v>45642.46802083333</v>
      </c>
      <c r="C548" s="1" t="n">
        <v>45883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42823-2021</t>
        </is>
      </c>
      <c r="B549" s="1" t="n">
        <v>44430.29293981481</v>
      </c>
      <c r="C549" s="1" t="n">
        <v>45883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19221-2024</t>
        </is>
      </c>
      <c r="B550" s="1" t="n">
        <v>45428.55409722222</v>
      </c>
      <c r="C550" s="1" t="n">
        <v>45883</v>
      </c>
      <c r="D550" t="inlineStr">
        <is>
          <t>KRONOBERGS LÄN</t>
        </is>
      </c>
      <c r="E550" t="inlineStr">
        <is>
          <t>UPPVIDINGE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19223-2024</t>
        </is>
      </c>
      <c r="B551" s="1" t="n">
        <v>45428.55619212963</v>
      </c>
      <c r="C551" s="1" t="n">
        <v>45883</v>
      </c>
      <c r="D551" t="inlineStr">
        <is>
          <t>KRONOBERGS LÄN</t>
        </is>
      </c>
      <c r="E551" t="inlineStr">
        <is>
          <t>UPPVIDINGE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12688-2024</t>
        </is>
      </c>
      <c r="B552" s="1" t="n">
        <v>45384.42409722223</v>
      </c>
      <c r="C552" s="1" t="n">
        <v>45883</v>
      </c>
      <c r="D552" t="inlineStr">
        <is>
          <t>KRONOBERGS LÄN</t>
        </is>
      </c>
      <c r="E552" t="inlineStr">
        <is>
          <t>UPPVIDINGE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9714-2023</t>
        </is>
      </c>
      <c r="B553" s="1" t="n">
        <v>44984</v>
      </c>
      <c r="C553" s="1" t="n">
        <v>45883</v>
      </c>
      <c r="D553" t="inlineStr">
        <is>
          <t>KRONOBERGS LÄN</t>
        </is>
      </c>
      <c r="E553" t="inlineStr">
        <is>
          <t>UPPVIDINGE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13582-2024</t>
        </is>
      </c>
      <c r="B554" s="1" t="n">
        <v>45389.73820601852</v>
      </c>
      <c r="C554" s="1" t="n">
        <v>45883</v>
      </c>
      <c r="D554" t="inlineStr">
        <is>
          <t>KRONOBERGS LÄN</t>
        </is>
      </c>
      <c r="E554" t="inlineStr">
        <is>
          <t>UPPVIDINGE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60041-2024</t>
        </is>
      </c>
      <c r="B555" s="1" t="n">
        <v>45642.47061342592</v>
      </c>
      <c r="C555" s="1" t="n">
        <v>45883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53134-2023</t>
        </is>
      </c>
      <c r="B556" s="1" t="n">
        <v>45229</v>
      </c>
      <c r="C556" s="1" t="n">
        <v>45883</v>
      </c>
      <c r="D556" t="inlineStr">
        <is>
          <t>KRONOBERGS LÄN</t>
        </is>
      </c>
      <c r="E556" t="inlineStr">
        <is>
          <t>UPPVIDINGE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49782-2024</t>
        </is>
      </c>
      <c r="B557" s="1" t="n">
        <v>45597.35365740741</v>
      </c>
      <c r="C557" s="1" t="n">
        <v>45883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13875-2024</t>
        </is>
      </c>
      <c r="B558" s="1" t="n">
        <v>45391.59185185185</v>
      </c>
      <c r="C558" s="1" t="n">
        <v>45883</v>
      </c>
      <c r="D558" t="inlineStr">
        <is>
          <t>KRONOBERGS LÄN</t>
        </is>
      </c>
      <c r="E558" t="inlineStr">
        <is>
          <t>UPPVIDINGE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50186-2024</t>
        </is>
      </c>
      <c r="B559" s="1" t="n">
        <v>45600.47440972222</v>
      </c>
      <c r="C559" s="1" t="n">
        <v>45883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63191-2023</t>
        </is>
      </c>
      <c r="B560" s="1" t="n">
        <v>45273</v>
      </c>
      <c r="C560" s="1" t="n">
        <v>45883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50852-2024</t>
        </is>
      </c>
      <c r="B561" s="1" t="n">
        <v>45601</v>
      </c>
      <c r="C561" s="1" t="n">
        <v>45883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13583-2024</t>
        </is>
      </c>
      <c r="B562" s="1" t="n">
        <v>45389.74396990741</v>
      </c>
      <c r="C562" s="1" t="n">
        <v>45883</v>
      </c>
      <c r="D562" t="inlineStr">
        <is>
          <t>KRONOBERGS LÄN</t>
        </is>
      </c>
      <c r="E562" t="inlineStr">
        <is>
          <t>UPPVIDINGE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32712-2024</t>
        </is>
      </c>
      <c r="B563" s="1" t="n">
        <v>45516.37174768518</v>
      </c>
      <c r="C563" s="1" t="n">
        <v>45883</v>
      </c>
      <c r="D563" t="inlineStr">
        <is>
          <t>KRONOBERGS LÄN</t>
        </is>
      </c>
      <c r="E563" t="inlineStr">
        <is>
          <t>UPPVIDINGE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32963-2024</t>
        </is>
      </c>
      <c r="B564" s="1" t="n">
        <v>45517.38890046296</v>
      </c>
      <c r="C564" s="1" t="n">
        <v>45883</v>
      </c>
      <c r="D564" t="inlineStr">
        <is>
          <t>KRONOBERGS LÄN</t>
        </is>
      </c>
      <c r="E564" t="inlineStr">
        <is>
          <t>UPPVIDINGE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68387-2021</t>
        </is>
      </c>
      <c r="B565" s="1" t="n">
        <v>44526</v>
      </c>
      <c r="C565" s="1" t="n">
        <v>45883</v>
      </c>
      <c r="D565" t="inlineStr">
        <is>
          <t>KRONOBERGS LÄN</t>
        </is>
      </c>
      <c r="E565" t="inlineStr">
        <is>
          <t>UPPVIDINGE</t>
        </is>
      </c>
      <c r="F565" t="inlineStr">
        <is>
          <t>Kyrkan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57514-2020</t>
        </is>
      </c>
      <c r="B566" s="1" t="n">
        <v>44140</v>
      </c>
      <c r="C566" s="1" t="n">
        <v>45883</v>
      </c>
      <c r="D566" t="inlineStr">
        <is>
          <t>KRONOBERGS LÄN</t>
        </is>
      </c>
      <c r="E566" t="inlineStr">
        <is>
          <t>UPPVIDINGE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18737-2025</t>
        </is>
      </c>
      <c r="B567" s="1" t="n">
        <v>45763.68868055556</v>
      </c>
      <c r="C567" s="1" t="n">
        <v>45883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57531-2020</t>
        </is>
      </c>
      <c r="B568" s="1" t="n">
        <v>44140</v>
      </c>
      <c r="C568" s="1" t="n">
        <v>45883</v>
      </c>
      <c r="D568" t="inlineStr">
        <is>
          <t>KRONOBERGS LÄN</t>
        </is>
      </c>
      <c r="E568" t="inlineStr">
        <is>
          <t>UPPVIDINGE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18738-2025</t>
        </is>
      </c>
      <c r="B569" s="1" t="n">
        <v>45763.69137731481</v>
      </c>
      <c r="C569" s="1" t="n">
        <v>45883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8374-2025</t>
        </is>
      </c>
      <c r="B570" s="1" t="n">
        <v>45709.33226851852</v>
      </c>
      <c r="C570" s="1" t="n">
        <v>45883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9677-2025</t>
        </is>
      </c>
      <c r="B571" s="1" t="n">
        <v>45716.34298611111</v>
      </c>
      <c r="C571" s="1" t="n">
        <v>45883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52010-2023</t>
        </is>
      </c>
      <c r="B572" s="1" t="n">
        <v>45223.60331018519</v>
      </c>
      <c r="C572" s="1" t="n">
        <v>45883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9676-2025</t>
        </is>
      </c>
      <c r="B573" s="1" t="n">
        <v>45716.34217592593</v>
      </c>
      <c r="C573" s="1" t="n">
        <v>45883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9680-2025</t>
        </is>
      </c>
      <c r="B574" s="1" t="n">
        <v>45716.34775462963</v>
      </c>
      <c r="C574" s="1" t="n">
        <v>45883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2853-2023</t>
        </is>
      </c>
      <c r="B575" s="1" t="n">
        <v>44945.39559027777</v>
      </c>
      <c r="C575" s="1" t="n">
        <v>45883</v>
      </c>
      <c r="D575" t="inlineStr">
        <is>
          <t>KRONOBERGS LÄN</t>
        </is>
      </c>
      <c r="E575" t="inlineStr">
        <is>
          <t>UPPVIDINGE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39239-2023</t>
        </is>
      </c>
      <c r="B576" s="1" t="n">
        <v>45162</v>
      </c>
      <c r="C576" s="1" t="n">
        <v>45883</v>
      </c>
      <c r="D576" t="inlineStr">
        <is>
          <t>KRONOBERGS LÄN</t>
        </is>
      </c>
      <c r="E576" t="inlineStr">
        <is>
          <t>UPPVIDINGE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21366-2023</t>
        </is>
      </c>
      <c r="B577" s="1" t="n">
        <v>45063.27048611111</v>
      </c>
      <c r="C577" s="1" t="n">
        <v>45883</v>
      </c>
      <c r="D577" t="inlineStr">
        <is>
          <t>KRONOBERGS LÄN</t>
        </is>
      </c>
      <c r="E577" t="inlineStr">
        <is>
          <t>UPPVIDINGE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36870-2023</t>
        </is>
      </c>
      <c r="B578" s="1" t="n">
        <v>45154.56967592592</v>
      </c>
      <c r="C578" s="1" t="n">
        <v>45883</v>
      </c>
      <c r="D578" t="inlineStr">
        <is>
          <t>KRONOBERGS LÄN</t>
        </is>
      </c>
      <c r="E578" t="inlineStr">
        <is>
          <t>UPPVIDINGE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67714-2021</t>
        </is>
      </c>
      <c r="B579" s="1" t="n">
        <v>44524</v>
      </c>
      <c r="C579" s="1" t="n">
        <v>45883</v>
      </c>
      <c r="D579" t="inlineStr">
        <is>
          <t>KRONOBERGS LÄN</t>
        </is>
      </c>
      <c r="E579" t="inlineStr">
        <is>
          <t>UPPVIDINGE</t>
        </is>
      </c>
      <c r="F579" t="inlineStr">
        <is>
          <t>Kyrkan</t>
        </is>
      </c>
      <c r="G579" t="n">
        <v>18.8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67618-2021</t>
        </is>
      </c>
      <c r="B580" s="1" t="n">
        <v>44524</v>
      </c>
      <c r="C580" s="1" t="n">
        <v>45883</v>
      </c>
      <c r="D580" t="inlineStr">
        <is>
          <t>KRONOBERGS LÄN</t>
        </is>
      </c>
      <c r="E580" t="inlineStr">
        <is>
          <t>UPPVIDINGE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35388-2023</t>
        </is>
      </c>
      <c r="B581" s="1" t="n">
        <v>45146</v>
      </c>
      <c r="C581" s="1" t="n">
        <v>45883</v>
      </c>
      <c r="D581" t="inlineStr">
        <is>
          <t>KRONOBERGS LÄN</t>
        </is>
      </c>
      <c r="E581" t="inlineStr">
        <is>
          <t>UPPVIDINGE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49779-2024</t>
        </is>
      </c>
      <c r="B582" s="1" t="n">
        <v>45597.3521412037</v>
      </c>
      <c r="C582" s="1" t="n">
        <v>45883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19601-2025</t>
        </is>
      </c>
      <c r="B583" s="1" t="n">
        <v>45770</v>
      </c>
      <c r="C583" s="1" t="n">
        <v>45883</v>
      </c>
      <c r="D583" t="inlineStr">
        <is>
          <t>KRONOBERGS LÄN</t>
        </is>
      </c>
      <c r="E583" t="inlineStr">
        <is>
          <t>UPPVIDINGE</t>
        </is>
      </c>
      <c r="G583" t="n">
        <v>10.7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21605-2025</t>
        </is>
      </c>
      <c r="B584" s="1" t="n">
        <v>45783.38083333334</v>
      </c>
      <c r="C584" s="1" t="n">
        <v>45883</v>
      </c>
      <c r="D584" t="inlineStr">
        <is>
          <t>KRONOBERGS LÄN</t>
        </is>
      </c>
      <c r="E584" t="inlineStr">
        <is>
          <t>UPPVIDINGE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19596-2025</t>
        </is>
      </c>
      <c r="B585" s="1" t="n">
        <v>45770</v>
      </c>
      <c r="C585" s="1" t="n">
        <v>45883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19599-2025</t>
        </is>
      </c>
      <c r="B586" s="1" t="n">
        <v>45770</v>
      </c>
      <c r="C586" s="1" t="n">
        <v>45883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48240-2024</t>
        </is>
      </c>
      <c r="B587" s="1" t="n">
        <v>45590.39090277778</v>
      </c>
      <c r="C587" s="1" t="n">
        <v>45883</v>
      </c>
      <c r="D587" t="inlineStr">
        <is>
          <t>KRONOBERGS LÄN</t>
        </is>
      </c>
      <c r="E587" t="inlineStr">
        <is>
          <t>UPPVIDINGE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13921-2025</t>
        </is>
      </c>
      <c r="B588" s="1" t="n">
        <v>45737.65869212963</v>
      </c>
      <c r="C588" s="1" t="n">
        <v>45883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21674-2025</t>
        </is>
      </c>
      <c r="B589" s="1" t="n">
        <v>45783.47896990741</v>
      </c>
      <c r="C589" s="1" t="n">
        <v>45883</v>
      </c>
      <c r="D589" t="inlineStr">
        <is>
          <t>KRONOBERGS LÄN</t>
        </is>
      </c>
      <c r="E589" t="inlineStr">
        <is>
          <t>UPPVIDINGE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19206-2024</t>
        </is>
      </c>
      <c r="B590" s="1" t="n">
        <v>45428.53776620371</v>
      </c>
      <c r="C590" s="1" t="n">
        <v>45883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31767-2023</t>
        </is>
      </c>
      <c r="B591" s="1" t="n">
        <v>45118</v>
      </c>
      <c r="C591" s="1" t="n">
        <v>45883</v>
      </c>
      <c r="D591" t="inlineStr">
        <is>
          <t>KRONOBERGS LÄN</t>
        </is>
      </c>
      <c r="E591" t="inlineStr">
        <is>
          <t>UPPVIDINGE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8551-2024</t>
        </is>
      </c>
      <c r="B592" s="1" t="n">
        <v>45355.56142361111</v>
      </c>
      <c r="C592" s="1" t="n">
        <v>45883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11029-2024</t>
        </is>
      </c>
      <c r="B593" s="1" t="n">
        <v>45370.64554398148</v>
      </c>
      <c r="C593" s="1" t="n">
        <v>45883</v>
      </c>
      <c r="D593" t="inlineStr">
        <is>
          <t>KRONOBERGS LÄN</t>
        </is>
      </c>
      <c r="E593" t="inlineStr">
        <is>
          <t>UPPVIDINGE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60513-2020</t>
        </is>
      </c>
      <c r="B594" s="1" t="n">
        <v>44153.45842592593</v>
      </c>
      <c r="C594" s="1" t="n">
        <v>45883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55680-2024</t>
        </is>
      </c>
      <c r="B595" s="1" t="n">
        <v>45622</v>
      </c>
      <c r="C595" s="1" t="n">
        <v>45883</v>
      </c>
      <c r="D595" t="inlineStr">
        <is>
          <t>KRONOBERGS LÄN</t>
        </is>
      </c>
      <c r="E595" t="inlineStr">
        <is>
          <t>UPPVIDINGE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53646-2020</t>
        </is>
      </c>
      <c r="B596" s="1" t="n">
        <v>44124</v>
      </c>
      <c r="C596" s="1" t="n">
        <v>45883</v>
      </c>
      <c r="D596" t="inlineStr">
        <is>
          <t>KRONOBERGS LÄN</t>
        </is>
      </c>
      <c r="E596" t="inlineStr">
        <is>
          <t>UPPVIDINGE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47858-2023</t>
        </is>
      </c>
      <c r="B597" s="1" t="n">
        <v>45204.42494212963</v>
      </c>
      <c r="C597" s="1" t="n">
        <v>45883</v>
      </c>
      <c r="D597" t="inlineStr">
        <is>
          <t>KRONOBERGS LÄN</t>
        </is>
      </c>
      <c r="E597" t="inlineStr">
        <is>
          <t>UPPVIDINGE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49766-2024</t>
        </is>
      </c>
      <c r="B598" s="1" t="n">
        <v>45597.34225694444</v>
      </c>
      <c r="C598" s="1" t="n">
        <v>45883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52657-2024</t>
        </is>
      </c>
      <c r="B599" s="1" t="n">
        <v>45610.35752314814</v>
      </c>
      <c r="C599" s="1" t="n">
        <v>45883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5442-2021</t>
        </is>
      </c>
      <c r="B600" s="1" t="n">
        <v>44229</v>
      </c>
      <c r="C600" s="1" t="n">
        <v>45883</v>
      </c>
      <c r="D600" t="inlineStr">
        <is>
          <t>KRONOBERGS LÄN</t>
        </is>
      </c>
      <c r="E600" t="inlineStr">
        <is>
          <t>UPPVIDINGE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29964-2024</t>
        </is>
      </c>
      <c r="B601" s="1" t="n">
        <v>45488.46717592593</v>
      </c>
      <c r="C601" s="1" t="n">
        <v>45883</v>
      </c>
      <c r="D601" t="inlineStr">
        <is>
          <t>KRONOBERGS LÄN</t>
        </is>
      </c>
      <c r="E601" t="inlineStr">
        <is>
          <t>UPPVIDINGE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63792-2023</t>
        </is>
      </c>
      <c r="B602" s="1" t="n">
        <v>45278.39707175926</v>
      </c>
      <c r="C602" s="1" t="n">
        <v>45883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51443-2024</t>
        </is>
      </c>
      <c r="B603" s="1" t="n">
        <v>45604.48289351852</v>
      </c>
      <c r="C603" s="1" t="n">
        <v>45883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14163-2023</t>
        </is>
      </c>
      <c r="B604" s="1" t="n">
        <v>45009</v>
      </c>
      <c r="C604" s="1" t="n">
        <v>45883</v>
      </c>
      <c r="D604" t="inlineStr">
        <is>
          <t>KRONOBERGS LÄN</t>
        </is>
      </c>
      <c r="E604" t="inlineStr">
        <is>
          <t>UPPVIDINGE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62320-2022</t>
        </is>
      </c>
      <c r="B605" s="1" t="n">
        <v>44923</v>
      </c>
      <c r="C605" s="1" t="n">
        <v>45883</v>
      </c>
      <c r="D605" t="inlineStr">
        <is>
          <t>KRONOBERGS LÄN</t>
        </is>
      </c>
      <c r="E605" t="inlineStr">
        <is>
          <t>UPPVIDINGE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57130-2024</t>
        </is>
      </c>
      <c r="B606" s="1" t="n">
        <v>45629.38060185185</v>
      </c>
      <c r="C606" s="1" t="n">
        <v>45883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31092-2024</t>
        </is>
      </c>
      <c r="B607" s="1" t="n">
        <v>45502.49574074074</v>
      </c>
      <c r="C607" s="1" t="n">
        <v>45883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15386-2022</t>
        </is>
      </c>
      <c r="B608" s="1" t="n">
        <v>44659.58702546296</v>
      </c>
      <c r="C608" s="1" t="n">
        <v>45883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63209-2023</t>
        </is>
      </c>
      <c r="B609" s="1" t="n">
        <v>45273.615</v>
      </c>
      <c r="C609" s="1" t="n">
        <v>45883</v>
      </c>
      <c r="D609" t="inlineStr">
        <is>
          <t>KRONOBERGS LÄN</t>
        </is>
      </c>
      <c r="E609" t="inlineStr">
        <is>
          <t>UPPVIDINGE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14798-2025</t>
        </is>
      </c>
      <c r="B610" s="1" t="n">
        <v>45742</v>
      </c>
      <c r="C610" s="1" t="n">
        <v>45883</v>
      </c>
      <c r="D610" t="inlineStr">
        <is>
          <t>KRONOBERGS LÄN</t>
        </is>
      </c>
      <c r="E610" t="inlineStr">
        <is>
          <t>UPPVIDINGE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28042-2024</t>
        </is>
      </c>
      <c r="B611" s="1" t="n">
        <v>45476.50758101852</v>
      </c>
      <c r="C611" s="1" t="n">
        <v>45883</v>
      </c>
      <c r="D611" t="inlineStr">
        <is>
          <t>KRONOBERGS LÄN</t>
        </is>
      </c>
      <c r="E611" t="inlineStr">
        <is>
          <t>UPPVIDINGE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26825-2023</t>
        </is>
      </c>
      <c r="B612" s="1" t="n">
        <v>45093</v>
      </c>
      <c r="C612" s="1" t="n">
        <v>45883</v>
      </c>
      <c r="D612" t="inlineStr">
        <is>
          <t>KRONOBERGS LÄN</t>
        </is>
      </c>
      <c r="E612" t="inlineStr">
        <is>
          <t>UPPVIDINGE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22375-2025</t>
        </is>
      </c>
      <c r="B613" s="1" t="n">
        <v>45786</v>
      </c>
      <c r="C613" s="1" t="n">
        <v>45883</v>
      </c>
      <c r="D613" t="inlineStr">
        <is>
          <t>KRONOBERGS LÄN</t>
        </is>
      </c>
      <c r="E613" t="inlineStr">
        <is>
          <t>UPPVIDINGE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39737-2024</t>
        </is>
      </c>
      <c r="B614" s="1" t="n">
        <v>45552.65006944445</v>
      </c>
      <c r="C614" s="1" t="n">
        <v>45883</v>
      </c>
      <c r="D614" t="inlineStr">
        <is>
          <t>KRONOBERGS LÄN</t>
        </is>
      </c>
      <c r="E614" t="inlineStr">
        <is>
          <t>UPPVIDINGE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51519-2024</t>
        </is>
      </c>
      <c r="B615" s="1" t="n">
        <v>45604.56769675926</v>
      </c>
      <c r="C615" s="1" t="n">
        <v>45883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51441-2024</t>
        </is>
      </c>
      <c r="B616" s="1" t="n">
        <v>45604.48214120371</v>
      </c>
      <c r="C616" s="1" t="n">
        <v>45883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45755-2024</t>
        </is>
      </c>
      <c r="B617" s="1" t="n">
        <v>45579</v>
      </c>
      <c r="C617" s="1" t="n">
        <v>45883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11977-2025</t>
        </is>
      </c>
      <c r="B618" s="1" t="n">
        <v>45728.59358796296</v>
      </c>
      <c r="C618" s="1" t="n">
        <v>45883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51414-2024</t>
        </is>
      </c>
      <c r="B619" s="1" t="n">
        <v>45604.44618055555</v>
      </c>
      <c r="C619" s="1" t="n">
        <v>45883</v>
      </c>
      <c r="D619" t="inlineStr">
        <is>
          <t>KRONOBERGS LÄN</t>
        </is>
      </c>
      <c r="E619" t="inlineStr">
        <is>
          <t>UPPVIDINGE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3370-2024</t>
        </is>
      </c>
      <c r="B620" s="1" t="n">
        <v>45317</v>
      </c>
      <c r="C620" s="1" t="n">
        <v>45883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9676-2023</t>
        </is>
      </c>
      <c r="B621" s="1" t="n">
        <v>44984</v>
      </c>
      <c r="C621" s="1" t="n">
        <v>45883</v>
      </c>
      <c r="D621" t="inlineStr">
        <is>
          <t>KRONOBERGS LÄN</t>
        </is>
      </c>
      <c r="E621" t="inlineStr">
        <is>
          <t>UPPVIDINGE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9715-2023</t>
        </is>
      </c>
      <c r="B622" s="1" t="n">
        <v>44984</v>
      </c>
      <c r="C622" s="1" t="n">
        <v>45883</v>
      </c>
      <c r="D622" t="inlineStr">
        <is>
          <t>KRONOBERGS LÄN</t>
        </is>
      </c>
      <c r="E622" t="inlineStr">
        <is>
          <t>UPPVIDINGE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7500-2023</t>
        </is>
      </c>
      <c r="B623" s="1" t="n">
        <v>44971.75834490741</v>
      </c>
      <c r="C623" s="1" t="n">
        <v>45883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23155-2023</t>
        </is>
      </c>
      <c r="B624" s="1" t="n">
        <v>45075.50622685185</v>
      </c>
      <c r="C624" s="1" t="n">
        <v>45883</v>
      </c>
      <c r="D624" t="inlineStr">
        <is>
          <t>KRONOBERGS LÄN</t>
        </is>
      </c>
      <c r="E624" t="inlineStr">
        <is>
          <t>UPPVIDINGE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60609-2021</t>
        </is>
      </c>
      <c r="B625" s="1" t="n">
        <v>44496.58679398148</v>
      </c>
      <c r="C625" s="1" t="n">
        <v>45883</v>
      </c>
      <c r="D625" t="inlineStr">
        <is>
          <t>KRONOBERGS LÄN</t>
        </is>
      </c>
      <c r="E625" t="inlineStr">
        <is>
          <t>UPPVIDINGE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7503-2023</t>
        </is>
      </c>
      <c r="B626" s="1" t="n">
        <v>44971.76626157408</v>
      </c>
      <c r="C626" s="1" t="n">
        <v>45883</v>
      </c>
      <c r="D626" t="inlineStr">
        <is>
          <t>KRONOBERGS LÄN</t>
        </is>
      </c>
      <c r="E626" t="inlineStr">
        <is>
          <t>UPPVIDINGE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23197-2025</t>
        </is>
      </c>
      <c r="B627" s="1" t="n">
        <v>45791</v>
      </c>
      <c r="C627" s="1" t="n">
        <v>45883</v>
      </c>
      <c r="D627" t="inlineStr">
        <is>
          <t>KRONOBERGS LÄN</t>
        </is>
      </c>
      <c r="E627" t="inlineStr">
        <is>
          <t>UPPVIDINGE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8449-2024</t>
        </is>
      </c>
      <c r="B628" s="1" t="n">
        <v>45354.72975694444</v>
      </c>
      <c r="C628" s="1" t="n">
        <v>45883</v>
      </c>
      <c r="D628" t="inlineStr">
        <is>
          <t>KRONOBERGS LÄN</t>
        </is>
      </c>
      <c r="E628" t="inlineStr">
        <is>
          <t>UPPVIDINGE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24788-2024</t>
        </is>
      </c>
      <c r="B629" s="1" t="n">
        <v>45460.82011574074</v>
      </c>
      <c r="C629" s="1" t="n">
        <v>45883</v>
      </c>
      <c r="D629" t="inlineStr">
        <is>
          <t>KRONOBERGS LÄN</t>
        </is>
      </c>
      <c r="E629" t="inlineStr">
        <is>
          <t>UPPVIDINGE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18304-2023</t>
        </is>
      </c>
      <c r="B630" s="1" t="n">
        <v>45041</v>
      </c>
      <c r="C630" s="1" t="n">
        <v>45883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13427-2025</t>
        </is>
      </c>
      <c r="B631" s="1" t="n">
        <v>45736.32833333333</v>
      </c>
      <c r="C631" s="1" t="n">
        <v>45883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21715-2025</t>
        </is>
      </c>
      <c r="B632" s="1" t="n">
        <v>45783</v>
      </c>
      <c r="C632" s="1" t="n">
        <v>45883</v>
      </c>
      <c r="D632" t="inlineStr">
        <is>
          <t>KRONOBERGS LÄN</t>
        </is>
      </c>
      <c r="E632" t="inlineStr">
        <is>
          <t>UPPVIDINGE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41998-2020</t>
        </is>
      </c>
      <c r="B633" s="1" t="n">
        <v>44074</v>
      </c>
      <c r="C633" s="1" t="n">
        <v>45883</v>
      </c>
      <c r="D633" t="inlineStr">
        <is>
          <t>KRONOBERGS LÄN</t>
        </is>
      </c>
      <c r="E633" t="inlineStr">
        <is>
          <t>UPPVIDINGE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38856-2024</t>
        </is>
      </c>
      <c r="B634" s="1" t="n">
        <v>45547.62553240741</v>
      </c>
      <c r="C634" s="1" t="n">
        <v>45883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67156-2021</t>
        </is>
      </c>
      <c r="B635" s="1" t="n">
        <v>44523.4103587963</v>
      </c>
      <c r="C635" s="1" t="n">
        <v>45883</v>
      </c>
      <c r="D635" t="inlineStr">
        <is>
          <t>KRONOBERGS LÄN</t>
        </is>
      </c>
      <c r="E635" t="inlineStr">
        <is>
          <t>UPPVIDINGE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23662-2025</t>
        </is>
      </c>
      <c r="B636" s="1" t="n">
        <v>45792.81104166667</v>
      </c>
      <c r="C636" s="1" t="n">
        <v>45883</v>
      </c>
      <c r="D636" t="inlineStr">
        <is>
          <t>KRONOBERGS LÄN</t>
        </is>
      </c>
      <c r="E636" t="inlineStr">
        <is>
          <t>UPPVIDINGE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27887-2024</t>
        </is>
      </c>
      <c r="B637" s="1" t="n">
        <v>45475</v>
      </c>
      <c r="C637" s="1" t="n">
        <v>45883</v>
      </c>
      <c r="D637" t="inlineStr">
        <is>
          <t>KRONOBERGS LÄN</t>
        </is>
      </c>
      <c r="E637" t="inlineStr">
        <is>
          <t>UPPVIDINGE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39016-2023</t>
        </is>
      </c>
      <c r="B638" s="1" t="n">
        <v>45163.72633101852</v>
      </c>
      <c r="C638" s="1" t="n">
        <v>45883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43580-2023</t>
        </is>
      </c>
      <c r="B639" s="1" t="n">
        <v>45181</v>
      </c>
      <c r="C639" s="1" t="n">
        <v>45883</v>
      </c>
      <c r="D639" t="inlineStr">
        <is>
          <t>KRONOBERGS LÄN</t>
        </is>
      </c>
      <c r="E639" t="inlineStr">
        <is>
          <t>UPPVIDINGE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8926-2024</t>
        </is>
      </c>
      <c r="B640" s="1" t="n">
        <v>45357.39202546296</v>
      </c>
      <c r="C640" s="1" t="n">
        <v>45883</v>
      </c>
      <c r="D640" t="inlineStr">
        <is>
          <t>KRONOBERGS LÄN</t>
        </is>
      </c>
      <c r="E640" t="inlineStr">
        <is>
          <t>UPPVIDINGE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54072-2024</t>
        </is>
      </c>
      <c r="B641" s="1" t="n">
        <v>45615</v>
      </c>
      <c r="C641" s="1" t="n">
        <v>45883</v>
      </c>
      <c r="D641" t="inlineStr">
        <is>
          <t>KRONOBERGS LÄN</t>
        </is>
      </c>
      <c r="E641" t="inlineStr">
        <is>
          <t>UPPVIDINGE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6341-2024</t>
        </is>
      </c>
      <c r="B642" s="1" t="n">
        <v>45338.43309027778</v>
      </c>
      <c r="C642" s="1" t="n">
        <v>45883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16082-2025</t>
        </is>
      </c>
      <c r="B643" s="1" t="n">
        <v>45749.75060185185</v>
      </c>
      <c r="C643" s="1" t="n">
        <v>45883</v>
      </c>
      <c r="D643" t="inlineStr">
        <is>
          <t>KRONOBERGS LÄN</t>
        </is>
      </c>
      <c r="E643" t="inlineStr">
        <is>
          <t>UPPVIDINGE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51298-2024</t>
        </is>
      </c>
      <c r="B644" s="1" t="n">
        <v>45604.26549768518</v>
      </c>
      <c r="C644" s="1" t="n">
        <v>45883</v>
      </c>
      <c r="D644" t="inlineStr">
        <is>
          <t>KRONOBERGS LÄN</t>
        </is>
      </c>
      <c r="E644" t="inlineStr">
        <is>
          <t>UPPVIDINGE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49809-2024</t>
        </is>
      </c>
      <c r="B645" s="1" t="n">
        <v>45597.38953703704</v>
      </c>
      <c r="C645" s="1" t="n">
        <v>45883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8359-2022</t>
        </is>
      </c>
      <c r="B646" s="1" t="n">
        <v>44610</v>
      </c>
      <c r="C646" s="1" t="n">
        <v>45883</v>
      </c>
      <c r="D646" t="inlineStr">
        <is>
          <t>KRONOBERGS LÄN</t>
        </is>
      </c>
      <c r="E646" t="inlineStr">
        <is>
          <t>UPPVIDINGE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27415-2024</t>
        </is>
      </c>
      <c r="B647" s="1" t="n">
        <v>45474.36921296296</v>
      </c>
      <c r="C647" s="1" t="n">
        <v>45883</v>
      </c>
      <c r="D647" t="inlineStr">
        <is>
          <t>KRONOBERGS LÄN</t>
        </is>
      </c>
      <c r="E647" t="inlineStr">
        <is>
          <t>UPPVIDINGE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33703-2025</t>
        </is>
      </c>
      <c r="B648" s="1" t="n">
        <v>45841.74796296296</v>
      </c>
      <c r="C648" s="1" t="n">
        <v>45883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45055-2023</t>
        </is>
      </c>
      <c r="B649" s="1" t="n">
        <v>45191</v>
      </c>
      <c r="C649" s="1" t="n">
        <v>45883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31765-2023</t>
        </is>
      </c>
      <c r="B650" s="1" t="n">
        <v>45118</v>
      </c>
      <c r="C650" s="1" t="n">
        <v>45883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13918-2025</t>
        </is>
      </c>
      <c r="B651" s="1" t="n">
        <v>45737.65686342592</v>
      </c>
      <c r="C651" s="1" t="n">
        <v>45883</v>
      </c>
      <c r="D651" t="inlineStr">
        <is>
          <t>KRONOBERGS LÄN</t>
        </is>
      </c>
      <c r="E651" t="inlineStr">
        <is>
          <t>UPPVIDINGE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5597-2025</t>
        </is>
      </c>
      <c r="B652" s="1" t="n">
        <v>45693</v>
      </c>
      <c r="C652" s="1" t="n">
        <v>45883</v>
      </c>
      <c r="D652" t="inlineStr">
        <is>
          <t>KRONOBERGS LÄN</t>
        </is>
      </c>
      <c r="E652" t="inlineStr">
        <is>
          <t>UPPVIDINGE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5598-2025</t>
        </is>
      </c>
      <c r="B653" s="1" t="n">
        <v>45693</v>
      </c>
      <c r="C653" s="1" t="n">
        <v>45883</v>
      </c>
      <c r="D653" t="inlineStr">
        <is>
          <t>KRONOBERGS LÄN</t>
        </is>
      </c>
      <c r="E653" t="inlineStr">
        <is>
          <t>UPPVIDINGE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33876-2025</t>
        </is>
      </c>
      <c r="B654" s="1" t="n">
        <v>45842.55467592592</v>
      </c>
      <c r="C654" s="1" t="n">
        <v>45883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33701-2025</t>
        </is>
      </c>
      <c r="B655" s="1" t="n">
        <v>45841.73791666667</v>
      </c>
      <c r="C655" s="1" t="n">
        <v>45883</v>
      </c>
      <c r="D655" t="inlineStr">
        <is>
          <t>KRONOBERGS LÄN</t>
        </is>
      </c>
      <c r="E655" t="inlineStr">
        <is>
          <t>UPPVIDINGE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33841-2025</t>
        </is>
      </c>
      <c r="B656" s="1" t="n">
        <v>45842.48019675926</v>
      </c>
      <c r="C656" s="1" t="n">
        <v>45883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33839-2025</t>
        </is>
      </c>
      <c r="B657" s="1" t="n">
        <v>45842.47915509259</v>
      </c>
      <c r="C657" s="1" t="n">
        <v>45883</v>
      </c>
      <c r="D657" t="inlineStr">
        <is>
          <t>KRONOBERGS LÄN</t>
        </is>
      </c>
      <c r="E657" t="inlineStr">
        <is>
          <t>UPPVIDINGE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10283-2025</t>
        </is>
      </c>
      <c r="B658" s="1" t="n">
        <v>45720.40681712963</v>
      </c>
      <c r="C658" s="1" t="n">
        <v>45883</v>
      </c>
      <c r="D658" t="inlineStr">
        <is>
          <t>KRONOBERGS LÄN</t>
        </is>
      </c>
      <c r="E658" t="inlineStr">
        <is>
          <t>UPPVIDINGE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36242-2024</t>
        </is>
      </c>
      <c r="B659" s="1" t="n">
        <v>45534</v>
      </c>
      <c r="C659" s="1" t="n">
        <v>45883</v>
      </c>
      <c r="D659" t="inlineStr">
        <is>
          <t>KRONOBERGS LÄN</t>
        </is>
      </c>
      <c r="E659" t="inlineStr">
        <is>
          <t>UPPVIDINGE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60043-2024</t>
        </is>
      </c>
      <c r="B660" s="1" t="n">
        <v>45642.47158564815</v>
      </c>
      <c r="C660" s="1" t="n">
        <v>45883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49806-2024</t>
        </is>
      </c>
      <c r="B661" s="1" t="n">
        <v>45597.38799768518</v>
      </c>
      <c r="C661" s="1" t="n">
        <v>45883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49812-2024</t>
        </is>
      </c>
      <c r="B662" s="1" t="n">
        <v>45597.39101851852</v>
      </c>
      <c r="C662" s="1" t="n">
        <v>45883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25348-2025</t>
        </is>
      </c>
      <c r="B663" s="1" t="n">
        <v>45800.6135300926</v>
      </c>
      <c r="C663" s="1" t="n">
        <v>45883</v>
      </c>
      <c r="D663" t="inlineStr">
        <is>
          <t>KRONOBERGS LÄN</t>
        </is>
      </c>
      <c r="E663" t="inlineStr">
        <is>
          <t>UPPVIDINGE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45883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25449-2025</t>
        </is>
      </c>
      <c r="B665" s="1" t="n">
        <v>45801.7406712963</v>
      </c>
      <c r="C665" s="1" t="n">
        <v>45883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48175-2022</t>
        </is>
      </c>
      <c r="B666" s="1" t="n">
        <v>44858</v>
      </c>
      <c r="C666" s="1" t="n">
        <v>45883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26009-2025</t>
        </is>
      </c>
      <c r="B667" s="1" t="n">
        <v>45804</v>
      </c>
      <c r="C667" s="1" t="n">
        <v>45883</v>
      </c>
      <c r="D667" t="inlineStr">
        <is>
          <t>KRONOBERGS LÄN</t>
        </is>
      </c>
      <c r="E667" t="inlineStr">
        <is>
          <t>UPPVIDINGE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25883-2025</t>
        </is>
      </c>
      <c r="B668" s="1" t="n">
        <v>45804.49788194444</v>
      </c>
      <c r="C668" s="1" t="n">
        <v>45883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25806-2025</t>
        </is>
      </c>
      <c r="B669" s="1" t="n">
        <v>45804.40983796296</v>
      </c>
      <c r="C669" s="1" t="n">
        <v>45883</v>
      </c>
      <c r="D669" t="inlineStr">
        <is>
          <t>KRONOBERGS LÄN</t>
        </is>
      </c>
      <c r="E669" t="inlineStr">
        <is>
          <t>UPPVIDINGE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5493-2025</t>
        </is>
      </c>
      <c r="B670" s="1" t="n">
        <v>45692</v>
      </c>
      <c r="C670" s="1" t="n">
        <v>45883</v>
      </c>
      <c r="D670" t="inlineStr">
        <is>
          <t>KRONOBERGS LÄN</t>
        </is>
      </c>
      <c r="E670" t="inlineStr">
        <is>
          <t>UPPVIDINGE</t>
        </is>
      </c>
      <c r="F670" t="inlineStr">
        <is>
          <t>Kyrkan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11424-2024</t>
        </is>
      </c>
      <c r="B671" s="1" t="n">
        <v>45372.49736111111</v>
      </c>
      <c r="C671" s="1" t="n">
        <v>45883</v>
      </c>
      <c r="D671" t="inlineStr">
        <is>
          <t>KRONOBERGS LÄN</t>
        </is>
      </c>
      <c r="E671" t="inlineStr">
        <is>
          <t>UPPVIDINGE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25447-2025</t>
        </is>
      </c>
      <c r="B672" s="1" t="n">
        <v>45801.72324074074</v>
      </c>
      <c r="C672" s="1" t="n">
        <v>45883</v>
      </c>
      <c r="D672" t="inlineStr">
        <is>
          <t>KRONOBERGS LÄN</t>
        </is>
      </c>
      <c r="E672" t="inlineStr">
        <is>
          <t>UPPVIDINGE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13713-2025</t>
        </is>
      </c>
      <c r="B673" s="1" t="n">
        <v>45737</v>
      </c>
      <c r="C673" s="1" t="n">
        <v>45883</v>
      </c>
      <c r="D673" t="inlineStr">
        <is>
          <t>KRONOBERGS LÄN</t>
        </is>
      </c>
      <c r="E673" t="inlineStr">
        <is>
          <t>UPPVIDINGE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14971-2025</t>
        </is>
      </c>
      <c r="B674" s="1" t="n">
        <v>45743.59358796296</v>
      </c>
      <c r="C674" s="1" t="n">
        <v>45883</v>
      </c>
      <c r="D674" t="inlineStr">
        <is>
          <t>KRONOBERGS LÄN</t>
        </is>
      </c>
      <c r="E674" t="inlineStr">
        <is>
          <t>UPPVIDINGE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47015-2023</t>
        </is>
      </c>
      <c r="B675" s="1" t="n">
        <v>45201.50586805555</v>
      </c>
      <c r="C675" s="1" t="n">
        <v>45883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43094-2024</t>
        </is>
      </c>
      <c r="B676" s="1" t="n">
        <v>45567.53571759259</v>
      </c>
      <c r="C676" s="1" t="n">
        <v>45883</v>
      </c>
      <c r="D676" t="inlineStr">
        <is>
          <t>KRONOBERGS LÄN</t>
        </is>
      </c>
      <c r="E676" t="inlineStr">
        <is>
          <t>UPPVIDINGE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21262-2024</t>
        </is>
      </c>
      <c r="B677" s="1" t="n">
        <v>45440.63173611111</v>
      </c>
      <c r="C677" s="1" t="n">
        <v>45883</v>
      </c>
      <c r="D677" t="inlineStr">
        <is>
          <t>KRONOBERGS LÄN</t>
        </is>
      </c>
      <c r="E677" t="inlineStr">
        <is>
          <t>UPPVIDINGE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25446-2025</t>
        </is>
      </c>
      <c r="B678" s="1" t="n">
        <v>45801.7155324074</v>
      </c>
      <c r="C678" s="1" t="n">
        <v>45883</v>
      </c>
      <c r="D678" t="inlineStr">
        <is>
          <t>KRONOBERGS LÄN</t>
        </is>
      </c>
      <c r="E678" t="inlineStr">
        <is>
          <t>UPPVIDINGE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25889-2025</t>
        </is>
      </c>
      <c r="B679" s="1" t="n">
        <v>45804</v>
      </c>
      <c r="C679" s="1" t="n">
        <v>45883</v>
      </c>
      <c r="D679" t="inlineStr">
        <is>
          <t>KRONOBERGS LÄN</t>
        </is>
      </c>
      <c r="E679" t="inlineStr">
        <is>
          <t>UPPVIDINGE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40164-2023</t>
        </is>
      </c>
      <c r="B680" s="1" t="n">
        <v>45169.38462962963</v>
      </c>
      <c r="C680" s="1" t="n">
        <v>45883</v>
      </c>
      <c r="D680" t="inlineStr">
        <is>
          <t>KRONOBERGS LÄN</t>
        </is>
      </c>
      <c r="E680" t="inlineStr">
        <is>
          <t>UPPVIDINGE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51047-2023</t>
        </is>
      </c>
      <c r="B681" s="1" t="n">
        <v>45218</v>
      </c>
      <c r="C681" s="1" t="n">
        <v>45883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25448-2025</t>
        </is>
      </c>
      <c r="B682" s="1" t="n">
        <v>45801.73608796296</v>
      </c>
      <c r="C682" s="1" t="n">
        <v>45883</v>
      </c>
      <c r="D682" t="inlineStr">
        <is>
          <t>KRONOBERGS LÄN</t>
        </is>
      </c>
      <c r="E682" t="inlineStr">
        <is>
          <t>UPPVIDINGE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12290-2025</t>
        </is>
      </c>
      <c r="B683" s="1" t="n">
        <v>45729.67947916667</v>
      </c>
      <c r="C683" s="1" t="n">
        <v>45883</v>
      </c>
      <c r="D683" t="inlineStr">
        <is>
          <t>KRONOBERGS LÄN</t>
        </is>
      </c>
      <c r="E683" t="inlineStr">
        <is>
          <t>UPPVIDINGE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11422-2024</t>
        </is>
      </c>
      <c r="B684" s="1" t="n">
        <v>45372.49458333333</v>
      </c>
      <c r="C684" s="1" t="n">
        <v>45883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19055-2025</t>
        </is>
      </c>
      <c r="B685" s="1" t="n">
        <v>45764</v>
      </c>
      <c r="C685" s="1" t="n">
        <v>45883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16.2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5036-2022</t>
        </is>
      </c>
      <c r="B686" s="1" t="n">
        <v>44593</v>
      </c>
      <c r="C686" s="1" t="n">
        <v>45883</v>
      </c>
      <c r="D686" t="inlineStr">
        <is>
          <t>KRONOBERGS LÄN</t>
        </is>
      </c>
      <c r="E686" t="inlineStr">
        <is>
          <t>UPPVIDINGE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46076-2023</t>
        </is>
      </c>
      <c r="B687" s="1" t="n">
        <v>45196.47457175926</v>
      </c>
      <c r="C687" s="1" t="n">
        <v>45883</v>
      </c>
      <c r="D687" t="inlineStr">
        <is>
          <t>KRONOBERGS LÄN</t>
        </is>
      </c>
      <c r="E687" t="inlineStr">
        <is>
          <t>UPPVIDINGE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15756-2024</t>
        </is>
      </c>
      <c r="B688" s="1" t="n">
        <v>45404.56375</v>
      </c>
      <c r="C688" s="1" t="n">
        <v>45883</v>
      </c>
      <c r="D688" t="inlineStr">
        <is>
          <t>KRONOBERGS LÄN</t>
        </is>
      </c>
      <c r="E688" t="inlineStr">
        <is>
          <t>UPPVIDINGE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26267-2025</t>
        </is>
      </c>
      <c r="B689" s="1" t="n">
        <v>45805.59104166667</v>
      </c>
      <c r="C689" s="1" t="n">
        <v>45883</v>
      </c>
      <c r="D689" t="inlineStr">
        <is>
          <t>KRONOBERGS LÄN</t>
        </is>
      </c>
      <c r="E689" t="inlineStr">
        <is>
          <t>UPPVIDINGE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19057-2025</t>
        </is>
      </c>
      <c r="B690" s="1" t="n">
        <v>45764</v>
      </c>
      <c r="C690" s="1" t="n">
        <v>45883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38858-2024</t>
        </is>
      </c>
      <c r="B691" s="1" t="n">
        <v>45547.6262037037</v>
      </c>
      <c r="C691" s="1" t="n">
        <v>45883</v>
      </c>
      <c r="D691" t="inlineStr">
        <is>
          <t>KRONOBERGS LÄN</t>
        </is>
      </c>
      <c r="E691" t="inlineStr">
        <is>
          <t>UPPVIDINGE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51836-2023</t>
        </is>
      </c>
      <c r="B692" s="1" t="n">
        <v>45223</v>
      </c>
      <c r="C692" s="1" t="n">
        <v>45883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795-2022</t>
        </is>
      </c>
      <c r="B693" s="1" t="n">
        <v>44566</v>
      </c>
      <c r="C693" s="1" t="n">
        <v>45883</v>
      </c>
      <c r="D693" t="inlineStr">
        <is>
          <t>KRONOBERGS LÄN</t>
        </is>
      </c>
      <c r="E693" t="inlineStr">
        <is>
          <t>UPPVIDINGE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581-2025</t>
        </is>
      </c>
      <c r="B694" s="1" t="n">
        <v>45664.57111111111</v>
      </c>
      <c r="C694" s="1" t="n">
        <v>45883</v>
      </c>
      <c r="D694" t="inlineStr">
        <is>
          <t>KRONOBERGS LÄN</t>
        </is>
      </c>
      <c r="E694" t="inlineStr">
        <is>
          <t>UPPVIDINGE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20538-2023</t>
        </is>
      </c>
      <c r="B695" s="1" t="n">
        <v>45057</v>
      </c>
      <c r="C695" s="1" t="n">
        <v>45883</v>
      </c>
      <c r="D695" t="inlineStr">
        <is>
          <t>KRONOBERGS LÄN</t>
        </is>
      </c>
      <c r="E695" t="inlineStr">
        <is>
          <t>UPPVIDINGE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31565-2023</t>
        </is>
      </c>
      <c r="B696" s="1" t="n">
        <v>45117</v>
      </c>
      <c r="C696" s="1" t="n">
        <v>45883</v>
      </c>
      <c r="D696" t="inlineStr">
        <is>
          <t>KRONOBERGS LÄN</t>
        </is>
      </c>
      <c r="E696" t="inlineStr">
        <is>
          <t>UPPVIDINGE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26470-2025</t>
        </is>
      </c>
      <c r="B697" s="1" t="n">
        <v>45807.45759259259</v>
      </c>
      <c r="C697" s="1" t="n">
        <v>45883</v>
      </c>
      <c r="D697" t="inlineStr">
        <is>
          <t>KRONOBERGS LÄN</t>
        </is>
      </c>
      <c r="E697" t="inlineStr">
        <is>
          <t>UPPVIDINGE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49373-2023</t>
        </is>
      </c>
      <c r="B698" s="1" t="n">
        <v>45211</v>
      </c>
      <c r="C698" s="1" t="n">
        <v>45883</v>
      </c>
      <c r="D698" t="inlineStr">
        <is>
          <t>KRONOBERGS LÄN</t>
        </is>
      </c>
      <c r="E698" t="inlineStr">
        <is>
          <t>UPPVIDINGE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4797-2025</t>
        </is>
      </c>
      <c r="B699" s="1" t="n">
        <v>45688.58667824074</v>
      </c>
      <c r="C699" s="1" t="n">
        <v>45883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29870-2023</t>
        </is>
      </c>
      <c r="B700" s="1" t="n">
        <v>45107.61413194444</v>
      </c>
      <c r="C700" s="1" t="n">
        <v>45883</v>
      </c>
      <c r="D700" t="inlineStr">
        <is>
          <t>KRONOBERGS LÄN</t>
        </is>
      </c>
      <c r="E700" t="inlineStr">
        <is>
          <t>UPPVIDINGE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45904-2023</t>
        </is>
      </c>
      <c r="B701" s="1" t="n">
        <v>45195</v>
      </c>
      <c r="C701" s="1" t="n">
        <v>45883</v>
      </c>
      <c r="D701" t="inlineStr">
        <is>
          <t>KRONOBERGS LÄN</t>
        </is>
      </c>
      <c r="E701" t="inlineStr">
        <is>
          <t>UPPVIDINGE</t>
        </is>
      </c>
      <c r="G701" t="n">
        <v>10.3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17541-2025</t>
        </is>
      </c>
      <c r="B702" s="1" t="n">
        <v>45757</v>
      </c>
      <c r="C702" s="1" t="n">
        <v>45883</v>
      </c>
      <c r="D702" t="inlineStr">
        <is>
          <t>KRONOBERGS LÄN</t>
        </is>
      </c>
      <c r="E702" t="inlineStr">
        <is>
          <t>UPPVIDINGE</t>
        </is>
      </c>
      <c r="F702" t="inlineStr">
        <is>
          <t>Kyrkan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26471-2025</t>
        </is>
      </c>
      <c r="B703" s="1" t="n">
        <v>45807.45905092593</v>
      </c>
      <c r="C703" s="1" t="n">
        <v>45883</v>
      </c>
      <c r="D703" t="inlineStr">
        <is>
          <t>KRONOBERGS LÄN</t>
        </is>
      </c>
      <c r="E703" t="inlineStr">
        <is>
          <t>UPPVIDINGE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26472-2025</t>
        </is>
      </c>
      <c r="B704" s="1" t="n">
        <v>45807.46021990741</v>
      </c>
      <c r="C704" s="1" t="n">
        <v>45883</v>
      </c>
      <c r="D704" t="inlineStr">
        <is>
          <t>KRONOBERGS LÄN</t>
        </is>
      </c>
      <c r="E704" t="inlineStr">
        <is>
          <t>UPPVIDINGE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43500-2023</t>
        </is>
      </c>
      <c r="B705" s="1" t="n">
        <v>45184.46447916667</v>
      </c>
      <c r="C705" s="1" t="n">
        <v>45883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17398-2025</t>
        </is>
      </c>
      <c r="B706" s="1" t="n">
        <v>45757.34662037037</v>
      </c>
      <c r="C706" s="1" t="n">
        <v>45883</v>
      </c>
      <c r="D706" t="inlineStr">
        <is>
          <t>KRONOBERGS LÄN</t>
        </is>
      </c>
      <c r="E706" t="inlineStr">
        <is>
          <t>UPPVIDINGE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49357-2023</t>
        </is>
      </c>
      <c r="B707" s="1" t="n">
        <v>45211</v>
      </c>
      <c r="C707" s="1" t="n">
        <v>45883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24932-2023</t>
        </is>
      </c>
      <c r="B708" s="1" t="n">
        <v>45085</v>
      </c>
      <c r="C708" s="1" t="n">
        <v>45883</v>
      </c>
      <c r="D708" t="inlineStr">
        <is>
          <t>KRONOBERGS LÄN</t>
        </is>
      </c>
      <c r="E708" t="inlineStr">
        <is>
          <t>UPPVIDINGE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27037-2025</t>
        </is>
      </c>
      <c r="B709" s="1" t="n">
        <v>45811.59519675926</v>
      </c>
      <c r="C709" s="1" t="n">
        <v>45883</v>
      </c>
      <c r="D709" t="inlineStr">
        <is>
          <t>KRONOBERGS LÄN</t>
        </is>
      </c>
      <c r="E709" t="inlineStr">
        <is>
          <t>UPPVIDINGE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8421-2025</t>
        </is>
      </c>
      <c r="B710" s="1" t="n">
        <v>45709.40560185185</v>
      </c>
      <c r="C710" s="1" t="n">
        <v>45883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24489-2024</t>
        </is>
      </c>
      <c r="B711" s="1" t="n">
        <v>45459.71376157407</v>
      </c>
      <c r="C711" s="1" t="n">
        <v>45883</v>
      </c>
      <c r="D711" t="inlineStr">
        <is>
          <t>KRONOBERGS LÄN</t>
        </is>
      </c>
      <c r="E711" t="inlineStr">
        <is>
          <t>UPPVIDINGE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8372-2025</t>
        </is>
      </c>
      <c r="B712" s="1" t="n">
        <v>45709.32859953704</v>
      </c>
      <c r="C712" s="1" t="n">
        <v>45883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8423-2025</t>
        </is>
      </c>
      <c r="B713" s="1" t="n">
        <v>45709.40761574074</v>
      </c>
      <c r="C713" s="1" t="n">
        <v>45883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35348-2025</t>
        </is>
      </c>
      <c r="B714" s="1" t="n">
        <v>45854.62081018519</v>
      </c>
      <c r="C714" s="1" t="n">
        <v>45883</v>
      </c>
      <c r="D714" t="inlineStr">
        <is>
          <t>KRONOBERGS LÄN</t>
        </is>
      </c>
      <c r="E714" t="inlineStr">
        <is>
          <t>UPPVIDINGE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36603-2023</t>
        </is>
      </c>
      <c r="B715" s="1" t="n">
        <v>45153</v>
      </c>
      <c r="C715" s="1" t="n">
        <v>45883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41973-2023</t>
        </is>
      </c>
      <c r="B716" s="1" t="n">
        <v>45174</v>
      </c>
      <c r="C716" s="1" t="n">
        <v>45883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8416-2025</t>
        </is>
      </c>
      <c r="B717" s="1" t="n">
        <v>45709.39714120371</v>
      </c>
      <c r="C717" s="1" t="n">
        <v>45883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53701-2023</t>
        </is>
      </c>
      <c r="B718" s="1" t="n">
        <v>45230</v>
      </c>
      <c r="C718" s="1" t="n">
        <v>45883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8415-2025</t>
        </is>
      </c>
      <c r="B719" s="1" t="n">
        <v>45709.39515046297</v>
      </c>
      <c r="C719" s="1" t="n">
        <v>45883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8418-2025</t>
        </is>
      </c>
      <c r="B720" s="1" t="n">
        <v>45709.40043981482</v>
      </c>
      <c r="C720" s="1" t="n">
        <v>45883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4727-2025</t>
        </is>
      </c>
      <c r="B721" s="1" t="n">
        <v>45688.43215277778</v>
      </c>
      <c r="C721" s="1" t="n">
        <v>45883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30097-2022</t>
        </is>
      </c>
      <c r="B722" s="1" t="n">
        <v>44757</v>
      </c>
      <c r="C722" s="1" t="n">
        <v>45883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20963-2025</t>
        </is>
      </c>
      <c r="B723" s="1" t="n">
        <v>45777.45011574074</v>
      </c>
      <c r="C723" s="1" t="n">
        <v>45883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28148-2025</t>
        </is>
      </c>
      <c r="B724" s="1" t="n">
        <v>45818</v>
      </c>
      <c r="C724" s="1" t="n">
        <v>45883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47918-2023</t>
        </is>
      </c>
      <c r="B725" s="1" t="n">
        <v>45204</v>
      </c>
      <c r="C725" s="1" t="n">
        <v>45883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19189-2025</t>
        </is>
      </c>
      <c r="B726" s="1" t="n">
        <v>45769.41568287037</v>
      </c>
      <c r="C726" s="1" t="n">
        <v>45883</v>
      </c>
      <c r="D726" t="inlineStr">
        <is>
          <t>KRONOBERGS LÄN</t>
        </is>
      </c>
      <c r="E726" t="inlineStr">
        <is>
          <t>UPPVIDINGE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28391-2025</t>
        </is>
      </c>
      <c r="B727" s="1" t="n">
        <v>45819.32747685185</v>
      </c>
      <c r="C727" s="1" t="n">
        <v>45883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28490-2025</t>
        </is>
      </c>
      <c r="B728" s="1" t="n">
        <v>45819.46775462963</v>
      </c>
      <c r="C728" s="1" t="n">
        <v>45883</v>
      </c>
      <c r="D728" t="inlineStr">
        <is>
          <t>KRONOBERGS LÄN</t>
        </is>
      </c>
      <c r="E728" t="inlineStr">
        <is>
          <t>UPPVIDINGE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35809-2025</t>
        </is>
      </c>
      <c r="B729" s="1" t="n">
        <v>45861.42532407407</v>
      </c>
      <c r="C729" s="1" t="n">
        <v>45883</v>
      </c>
      <c r="D729" t="inlineStr">
        <is>
          <t>KRONOBERGS LÄN</t>
        </is>
      </c>
      <c r="E729" t="inlineStr">
        <is>
          <t>UPPVIDINGE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35813-2025</t>
        </is>
      </c>
      <c r="B730" s="1" t="n">
        <v>45861.43393518519</v>
      </c>
      <c r="C730" s="1" t="n">
        <v>45883</v>
      </c>
      <c r="D730" t="inlineStr">
        <is>
          <t>KRONOBERGS LÄN</t>
        </is>
      </c>
      <c r="E730" t="inlineStr">
        <is>
          <t>UPPVIDINGE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37028-2023</t>
        </is>
      </c>
      <c r="B731" s="1" t="n">
        <v>45155</v>
      </c>
      <c r="C731" s="1" t="n">
        <v>45883</v>
      </c>
      <c r="D731" t="inlineStr">
        <is>
          <t>KRONOBERGS LÄN</t>
        </is>
      </c>
      <c r="E731" t="inlineStr">
        <is>
          <t>UPPVIDINGE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56363-2023</t>
        </is>
      </c>
      <c r="B732" s="1" t="n">
        <v>45243</v>
      </c>
      <c r="C732" s="1" t="n">
        <v>45883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29331-2025</t>
        </is>
      </c>
      <c r="B733" s="1" t="n">
        <v>45824.48737268519</v>
      </c>
      <c r="C733" s="1" t="n">
        <v>45883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36035-2025</t>
        </is>
      </c>
      <c r="B734" s="1" t="n">
        <v>45865.66577546296</v>
      </c>
      <c r="C734" s="1" t="n">
        <v>45883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61112-2022</t>
        </is>
      </c>
      <c r="B735" s="1" t="n">
        <v>44915.41944444444</v>
      </c>
      <c r="C735" s="1" t="n">
        <v>45883</v>
      </c>
      <c r="D735" t="inlineStr">
        <is>
          <t>KRONOBERGS LÄN</t>
        </is>
      </c>
      <c r="E735" t="inlineStr">
        <is>
          <t>UPPVIDINGE</t>
        </is>
      </c>
      <c r="G735" t="n">
        <v>12.5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36036-2025</t>
        </is>
      </c>
      <c r="B736" s="1" t="n">
        <v>45865</v>
      </c>
      <c r="C736" s="1" t="n">
        <v>45883</v>
      </c>
      <c r="D736" t="inlineStr">
        <is>
          <t>KRONOBERGS LÄN</t>
        </is>
      </c>
      <c r="E736" t="inlineStr">
        <is>
          <t>UPPVIDINGE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36037-2025</t>
        </is>
      </c>
      <c r="B737" s="1" t="n">
        <v>45865.67818287037</v>
      </c>
      <c r="C737" s="1" t="n">
        <v>45883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60599-2024</t>
        </is>
      </c>
      <c r="B738" s="1" t="n">
        <v>45644.36364583333</v>
      </c>
      <c r="C738" s="1" t="n">
        <v>45883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29989-2025</t>
        </is>
      </c>
      <c r="B739" s="1" t="n">
        <v>45826.50130787037</v>
      </c>
      <c r="C739" s="1" t="n">
        <v>45883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6071-2024</t>
        </is>
      </c>
      <c r="B740" s="1" t="n">
        <v>45336</v>
      </c>
      <c r="C740" s="1" t="n">
        <v>45883</v>
      </c>
      <c r="D740" t="inlineStr">
        <is>
          <t>KRONOBERGS LÄN</t>
        </is>
      </c>
      <c r="E740" t="inlineStr">
        <is>
          <t>UPPVIDINGE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29893-2025</t>
        </is>
      </c>
      <c r="B741" s="1" t="n">
        <v>45826.37920138889</v>
      </c>
      <c r="C741" s="1" t="n">
        <v>45883</v>
      </c>
      <c r="D741" t="inlineStr">
        <is>
          <t>KRONOBERGS LÄN</t>
        </is>
      </c>
      <c r="E741" t="inlineStr">
        <is>
          <t>UPPVIDINGE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29992-2025</t>
        </is>
      </c>
      <c r="B742" s="1" t="n">
        <v>45826.50511574074</v>
      </c>
      <c r="C742" s="1" t="n">
        <v>45883</v>
      </c>
      <c r="D742" t="inlineStr">
        <is>
          <t>KRONOBERGS LÄN</t>
        </is>
      </c>
      <c r="E742" t="inlineStr">
        <is>
          <t>UPPVIDINGE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29592-2025</t>
        </is>
      </c>
      <c r="B743" s="1" t="n">
        <v>45825.40163194444</v>
      </c>
      <c r="C743" s="1" t="n">
        <v>45883</v>
      </c>
      <c r="D743" t="inlineStr">
        <is>
          <t>KRONOBERGS LÄN</t>
        </is>
      </c>
      <c r="E743" t="inlineStr">
        <is>
          <t>UPPVIDINGE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48277-2022</t>
        </is>
      </c>
      <c r="B744" s="1" t="n">
        <v>44858</v>
      </c>
      <c r="C744" s="1" t="n">
        <v>45883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29734-2025</t>
        </is>
      </c>
      <c r="B745" s="1" t="n">
        <v>45825.58365740741</v>
      </c>
      <c r="C745" s="1" t="n">
        <v>45883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29643-2025</t>
        </is>
      </c>
      <c r="B746" s="1" t="n">
        <v>45825.46516203704</v>
      </c>
      <c r="C746" s="1" t="n">
        <v>45883</v>
      </c>
      <c r="D746" t="inlineStr">
        <is>
          <t>KRONOBERGS LÄN</t>
        </is>
      </c>
      <c r="E746" t="inlineStr">
        <is>
          <t>UPPVIDINGE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11723-2025</t>
        </is>
      </c>
      <c r="B747" s="1" t="n">
        <v>45727.61247685185</v>
      </c>
      <c r="C747" s="1" t="n">
        <v>45883</v>
      </c>
      <c r="D747" t="inlineStr">
        <is>
          <t>KRONOBERGS LÄN</t>
        </is>
      </c>
      <c r="E747" t="inlineStr">
        <is>
          <t>UPPVIDINGE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29980-2025</t>
        </is>
      </c>
      <c r="B748" s="1" t="n">
        <v>45826.49353009259</v>
      </c>
      <c r="C748" s="1" t="n">
        <v>45883</v>
      </c>
      <c r="D748" t="inlineStr">
        <is>
          <t>KRONOBERGS LÄN</t>
        </is>
      </c>
      <c r="E748" t="inlineStr">
        <is>
          <t>UPPVIDINGE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30105-2022</t>
        </is>
      </c>
      <c r="B749" s="1" t="n">
        <v>44757.40103009259</v>
      </c>
      <c r="C749" s="1" t="n">
        <v>45883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30110-2022</t>
        </is>
      </c>
      <c r="B750" s="1" t="n">
        <v>44757.40538194445</v>
      </c>
      <c r="C750" s="1" t="n">
        <v>45883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53492-2023</t>
        </is>
      </c>
      <c r="B751" s="1" t="n">
        <v>45230</v>
      </c>
      <c r="C751" s="1" t="n">
        <v>45883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36441-2025</t>
        </is>
      </c>
      <c r="B752" s="1" t="n">
        <v>45869.39628472222</v>
      </c>
      <c r="C752" s="1" t="n">
        <v>45883</v>
      </c>
      <c r="D752" t="inlineStr">
        <is>
          <t>KRONOBERGS LÄN</t>
        </is>
      </c>
      <c r="E752" t="inlineStr">
        <is>
          <t>UPPVIDINGE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13088-2025</t>
        </is>
      </c>
      <c r="B753" s="1" t="n">
        <v>45734</v>
      </c>
      <c r="C753" s="1" t="n">
        <v>45883</v>
      </c>
      <c r="D753" t="inlineStr">
        <is>
          <t>KRONOBERGS LÄN</t>
        </is>
      </c>
      <c r="E753" t="inlineStr">
        <is>
          <t>UPPVIDINGE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8123-2024</t>
        </is>
      </c>
      <c r="B754" s="1" t="n">
        <v>45351</v>
      </c>
      <c r="C754" s="1" t="n">
        <v>45883</v>
      </c>
      <c r="D754" t="inlineStr">
        <is>
          <t>KRONOBERGS LÄN</t>
        </is>
      </c>
      <c r="E754" t="inlineStr">
        <is>
          <t>UPPVIDINGE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16740-2025</t>
        </is>
      </c>
      <c r="B755" s="1" t="n">
        <v>45754.55663194445</v>
      </c>
      <c r="C755" s="1" t="n">
        <v>45883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61398-2023</t>
        </is>
      </c>
      <c r="B756" s="1" t="n">
        <v>45264.6516087963</v>
      </c>
      <c r="C756" s="1" t="n">
        <v>45883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2045-2023</t>
        </is>
      </c>
      <c r="B757" s="1" t="n">
        <v>44939</v>
      </c>
      <c r="C757" s="1" t="n">
        <v>45883</v>
      </c>
      <c r="D757" t="inlineStr">
        <is>
          <t>KRONOBERGS LÄN</t>
        </is>
      </c>
      <c r="E757" t="inlineStr">
        <is>
          <t>UPPVIDINGE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2053-2023</t>
        </is>
      </c>
      <c r="B758" s="1" t="n">
        <v>44939</v>
      </c>
      <c r="C758" s="1" t="n">
        <v>45883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30745-2025</t>
        </is>
      </c>
      <c r="B759" s="1" t="n">
        <v>45831.5818287037</v>
      </c>
      <c r="C759" s="1" t="n">
        <v>45883</v>
      </c>
      <c r="D759" t="inlineStr">
        <is>
          <t>KRONOBERGS LÄN</t>
        </is>
      </c>
      <c r="E759" t="inlineStr">
        <is>
          <t>UPPVIDINGE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30815-2025</t>
        </is>
      </c>
      <c r="B760" s="1" t="n">
        <v>45831</v>
      </c>
      <c r="C760" s="1" t="n">
        <v>45883</v>
      </c>
      <c r="D760" t="inlineStr">
        <is>
          <t>KRONOBERGS LÄN</t>
        </is>
      </c>
      <c r="E760" t="inlineStr">
        <is>
          <t>UPPVIDINGE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53698-2023</t>
        </is>
      </c>
      <c r="B761" s="1" t="n">
        <v>45230</v>
      </c>
      <c r="C761" s="1" t="n">
        <v>45883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4217-2024</t>
        </is>
      </c>
      <c r="B762" s="1" t="n">
        <v>45324.40112268519</v>
      </c>
      <c r="C762" s="1" t="n">
        <v>45883</v>
      </c>
      <c r="D762" t="inlineStr">
        <is>
          <t>KRONOBERGS LÄN</t>
        </is>
      </c>
      <c r="E762" t="inlineStr">
        <is>
          <t>UPPVIDINGE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30983-2025</t>
        </is>
      </c>
      <c r="B763" s="1" t="n">
        <v>45832.47321759259</v>
      </c>
      <c r="C763" s="1" t="n">
        <v>45883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30547-2025</t>
        </is>
      </c>
      <c r="B764" s="1" t="n">
        <v>45831.37613425926</v>
      </c>
      <c r="C764" s="1" t="n">
        <v>45883</v>
      </c>
      <c r="D764" t="inlineStr">
        <is>
          <t>KRONOBERGS LÄN</t>
        </is>
      </c>
      <c r="E764" t="inlineStr">
        <is>
          <t>UPPVIDINGE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64041-2023</t>
        </is>
      </c>
      <c r="B765" s="1" t="n">
        <v>45279</v>
      </c>
      <c r="C765" s="1" t="n">
        <v>45883</v>
      </c>
      <c r="D765" t="inlineStr">
        <is>
          <t>KRONOBERGS LÄN</t>
        </is>
      </c>
      <c r="E765" t="inlineStr">
        <is>
          <t>UPPVIDINGE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36864-2025</t>
        </is>
      </c>
      <c r="B766" s="1" t="n">
        <v>45873</v>
      </c>
      <c r="C766" s="1" t="n">
        <v>45883</v>
      </c>
      <c r="D766" t="inlineStr">
        <is>
          <t>KRONOBERGS LÄN</t>
        </is>
      </c>
      <c r="E766" t="inlineStr">
        <is>
          <t>UPPVIDINGE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30533-2025</t>
        </is>
      </c>
      <c r="B767" s="1" t="n">
        <v>45831.36230324074</v>
      </c>
      <c r="C767" s="1" t="n">
        <v>45883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30545-2025</t>
        </is>
      </c>
      <c r="B768" s="1" t="n">
        <v>45831.37420138889</v>
      </c>
      <c r="C768" s="1" t="n">
        <v>45883</v>
      </c>
      <c r="D768" t="inlineStr">
        <is>
          <t>KRONOBERGS LÄN</t>
        </is>
      </c>
      <c r="E768" t="inlineStr">
        <is>
          <t>UPPVIDINGE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7104-2022</t>
        </is>
      </c>
      <c r="B769" s="1" t="n">
        <v>44603</v>
      </c>
      <c r="C769" s="1" t="n">
        <v>45883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30662-2025</t>
        </is>
      </c>
      <c r="B770" s="1" t="n">
        <v>45831.51181712963</v>
      </c>
      <c r="C770" s="1" t="n">
        <v>45883</v>
      </c>
      <c r="D770" t="inlineStr">
        <is>
          <t>KRONOBERGS LÄN</t>
        </is>
      </c>
      <c r="E770" t="inlineStr">
        <is>
          <t>UPPVIDINGE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14184-2021</t>
        </is>
      </c>
      <c r="B771" s="1" t="n">
        <v>44278</v>
      </c>
      <c r="C771" s="1" t="n">
        <v>45883</v>
      </c>
      <c r="D771" t="inlineStr">
        <is>
          <t>KRONOBERGS LÄN</t>
        </is>
      </c>
      <c r="E771" t="inlineStr">
        <is>
          <t>UPPVIDINGE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35492-2023</t>
        </is>
      </c>
      <c r="B772" s="1" t="n">
        <v>45146</v>
      </c>
      <c r="C772" s="1" t="n">
        <v>45883</v>
      </c>
      <c r="D772" t="inlineStr">
        <is>
          <t>KRONOBERGS LÄN</t>
        </is>
      </c>
      <c r="E772" t="inlineStr">
        <is>
          <t>UPPVIDINGE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35494-2023</t>
        </is>
      </c>
      <c r="B773" s="1" t="n">
        <v>45146</v>
      </c>
      <c r="C773" s="1" t="n">
        <v>45883</v>
      </c>
      <c r="D773" t="inlineStr">
        <is>
          <t>KRONOBERGS LÄN</t>
        </is>
      </c>
      <c r="E773" t="inlineStr">
        <is>
          <t>UPPVIDINGE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1361-2021</t>
        </is>
      </c>
      <c r="B774" s="1" t="n">
        <v>44208</v>
      </c>
      <c r="C774" s="1" t="n">
        <v>45883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3607-2024</t>
        </is>
      </c>
      <c r="B775" s="1" t="n">
        <v>45320.88226851852</v>
      </c>
      <c r="C775" s="1" t="n">
        <v>45883</v>
      </c>
      <c r="D775" t="inlineStr">
        <is>
          <t>KRONOBERGS LÄN</t>
        </is>
      </c>
      <c r="E775" t="inlineStr">
        <is>
          <t>UPPVIDINGE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37101-2025</t>
        </is>
      </c>
      <c r="B776" s="1" t="n">
        <v>45875</v>
      </c>
      <c r="C776" s="1" t="n">
        <v>45883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19034-2025</t>
        </is>
      </c>
      <c r="B777" s="1" t="n">
        <v>45764.67251157408</v>
      </c>
      <c r="C777" s="1" t="n">
        <v>45883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8420-2025</t>
        </is>
      </c>
      <c r="B778" s="1" t="n">
        <v>45709.40309027778</v>
      </c>
      <c r="C778" s="1" t="n">
        <v>45883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1918-2024</t>
        </is>
      </c>
      <c r="B779" s="1" t="n">
        <v>45308</v>
      </c>
      <c r="C779" s="1" t="n">
        <v>45883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36966-2024</t>
        </is>
      </c>
      <c r="B780" s="1" t="n">
        <v>45538.80545138889</v>
      </c>
      <c r="C780" s="1" t="n">
        <v>45883</v>
      </c>
      <c r="D780" t="inlineStr">
        <is>
          <t>KRONOBERGS LÄN</t>
        </is>
      </c>
      <c r="E780" t="inlineStr">
        <is>
          <t>UPPVIDINGE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38854-2024</t>
        </is>
      </c>
      <c r="B781" s="1" t="n">
        <v>45547.62391203704</v>
      </c>
      <c r="C781" s="1" t="n">
        <v>45883</v>
      </c>
      <c r="D781" t="inlineStr">
        <is>
          <t>KRONOBERGS LÄN</t>
        </is>
      </c>
      <c r="E781" t="inlineStr">
        <is>
          <t>UPPVIDINGE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38855-2024</t>
        </is>
      </c>
      <c r="B782" s="1" t="n">
        <v>45547.62475694445</v>
      </c>
      <c r="C782" s="1" t="n">
        <v>45883</v>
      </c>
      <c r="D782" t="inlineStr">
        <is>
          <t>KRONOBERGS LÄN</t>
        </is>
      </c>
      <c r="E782" t="inlineStr">
        <is>
          <t>UPPVIDINGE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19053-2025</t>
        </is>
      </c>
      <c r="B783" s="1" t="n">
        <v>45764</v>
      </c>
      <c r="C783" s="1" t="n">
        <v>45883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19054-2025</t>
        </is>
      </c>
      <c r="B784" s="1" t="n">
        <v>45764.84103009259</v>
      </c>
      <c r="C784" s="1" t="n">
        <v>45883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31994-2025</t>
        </is>
      </c>
      <c r="B785" s="1" t="n">
        <v>45835.37094907407</v>
      </c>
      <c r="C785" s="1" t="n">
        <v>45883</v>
      </c>
      <c r="D785" t="inlineStr">
        <is>
          <t>KRONOBERGS LÄN</t>
        </is>
      </c>
      <c r="E785" t="inlineStr">
        <is>
          <t>UPPVIDINGE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32650-2025</t>
        </is>
      </c>
      <c r="B786" s="1" t="n">
        <v>45838.67675925926</v>
      </c>
      <c r="C786" s="1" t="n">
        <v>45883</v>
      </c>
      <c r="D786" t="inlineStr">
        <is>
          <t>KRONOBERGS LÄN</t>
        </is>
      </c>
      <c r="E786" t="inlineStr">
        <is>
          <t>UPPVIDINGE</t>
        </is>
      </c>
      <c r="F786" t="inlineStr">
        <is>
          <t>Kommuner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32598-2025</t>
        </is>
      </c>
      <c r="B787" s="1" t="n">
        <v>45838.6196875</v>
      </c>
      <c r="C787" s="1" t="n">
        <v>45883</v>
      </c>
      <c r="D787" t="inlineStr">
        <is>
          <t>KRONOBERGS LÄN</t>
        </is>
      </c>
      <c r="E787" t="inlineStr">
        <is>
          <t>UPPVIDINGE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13428-2025</t>
        </is>
      </c>
      <c r="B788" s="1" t="n">
        <v>45736.32997685186</v>
      </c>
      <c r="C788" s="1" t="n">
        <v>45883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13429-2025</t>
        </is>
      </c>
      <c r="B789" s="1" t="n">
        <v>45736.33076388889</v>
      </c>
      <c r="C789" s="1" t="n">
        <v>45883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19622-2025</t>
        </is>
      </c>
      <c r="B790" s="1" t="n">
        <v>45770.625625</v>
      </c>
      <c r="C790" s="1" t="n">
        <v>45883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32110-2025</t>
        </is>
      </c>
      <c r="B791" s="1" t="n">
        <v>45835.48375</v>
      </c>
      <c r="C791" s="1" t="n">
        <v>45883</v>
      </c>
      <c r="D791" t="inlineStr">
        <is>
          <t>KRONOBERGS LÄN</t>
        </is>
      </c>
      <c r="E791" t="inlineStr">
        <is>
          <t>UPPVIDINGE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62176-2022</t>
        </is>
      </c>
      <c r="B792" s="1" t="n">
        <v>44922.50314814815</v>
      </c>
      <c r="C792" s="1" t="n">
        <v>45883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32833-2025</t>
        </is>
      </c>
      <c r="B793" s="1" t="n">
        <v>45839</v>
      </c>
      <c r="C793" s="1" t="n">
        <v>45883</v>
      </c>
      <c r="D793" t="inlineStr">
        <is>
          <t>KRONOBERGS LÄN</t>
        </is>
      </c>
      <c r="E793" t="inlineStr">
        <is>
          <t>UPPVIDINGE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32835-2025</t>
        </is>
      </c>
      <c r="B794" s="1" t="n">
        <v>45839</v>
      </c>
      <c r="C794" s="1" t="n">
        <v>45883</v>
      </c>
      <c r="D794" t="inlineStr">
        <is>
          <t>KRONOBERGS LÄN</t>
        </is>
      </c>
      <c r="E794" t="inlineStr">
        <is>
          <t>UPPVIDINGE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HYPERLINK("https://klasma.github.io/Logging_0760/knärot/A 32835-2025 karta knärot.png", "A 32835-2025")</f>
        <v/>
      </c>
      <c r="V794">
        <f>HYPERLINK("https://klasma.github.io/Logging_0760/klagomål/A 32835-2025 FSC-klagomål.docx", "A 32835-2025")</f>
        <v/>
      </c>
      <c r="W794">
        <f>HYPERLINK("https://klasma.github.io/Logging_0760/klagomålsmail/A 32835-2025 FSC-klagomål mail.docx", "A 32835-2025")</f>
        <v/>
      </c>
      <c r="X794">
        <f>HYPERLINK("https://klasma.github.io/Logging_0760/tillsyn/A 32835-2025 tillsynsbegäran.docx", "A 32835-2025")</f>
        <v/>
      </c>
      <c r="Y794">
        <f>HYPERLINK("https://klasma.github.io/Logging_0760/tillsynsmail/A 32835-2025 tillsynsbegäran mail.docx", "A 32835-2025")</f>
        <v/>
      </c>
    </row>
    <row r="795" ht="15" customHeight="1">
      <c r="A795" t="inlineStr">
        <is>
          <t>A 37855-2025</t>
        </is>
      </c>
      <c r="B795" s="1" t="n">
        <v>45881.4566087963</v>
      </c>
      <c r="C795" s="1" t="n">
        <v>45883</v>
      </c>
      <c r="D795" t="inlineStr">
        <is>
          <t>KRONOBERGS LÄN</t>
        </is>
      </c>
      <c r="E795" t="inlineStr">
        <is>
          <t>UPPVIDINGE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330-2024</t>
        </is>
      </c>
      <c r="B796" s="1" t="n">
        <v>45295</v>
      </c>
      <c r="C796" s="1" t="n">
        <v>45883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32719-2025</t>
        </is>
      </c>
      <c r="B797" s="1" t="n">
        <v>45839</v>
      </c>
      <c r="C797" s="1" t="n">
        <v>45883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33100-2025</t>
        </is>
      </c>
      <c r="B798" s="1" t="n">
        <v>45840.479375</v>
      </c>
      <c r="C798" s="1" t="n">
        <v>45883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939-2025</t>
        </is>
      </c>
      <c r="B799" s="1" t="n">
        <v>45666</v>
      </c>
      <c r="C799" s="1" t="n">
        <v>45883</v>
      </c>
      <c r="D799" t="inlineStr">
        <is>
          <t>KRONOBERGS LÄN</t>
        </is>
      </c>
      <c r="E799" t="inlineStr">
        <is>
          <t>UPPVIDINGE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37397-2025</t>
        </is>
      </c>
      <c r="B800" s="1" t="n">
        <v>45877</v>
      </c>
      <c r="C800" s="1" t="n">
        <v>45883</v>
      </c>
      <c r="D800" t="inlineStr">
        <is>
          <t>KRONOBERGS LÄN</t>
        </is>
      </c>
      <c r="E800" t="inlineStr">
        <is>
          <t>UPPVIDINGE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37841-2025</t>
        </is>
      </c>
      <c r="B801" s="1" t="n">
        <v>45881</v>
      </c>
      <c r="C801" s="1" t="n">
        <v>45883</v>
      </c>
      <c r="D801" t="inlineStr">
        <is>
          <t>KRONOBERGS LÄN</t>
        </is>
      </c>
      <c r="E801" t="inlineStr">
        <is>
          <t>UPPVIDINGE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32437-2025</t>
        </is>
      </c>
      <c r="B802" s="1" t="n">
        <v>45838.37465277778</v>
      </c>
      <c r="C802" s="1" t="n">
        <v>45883</v>
      </c>
      <c r="D802" t="inlineStr">
        <is>
          <t>KRONOBERGS LÄN</t>
        </is>
      </c>
      <c r="E802" t="inlineStr">
        <is>
          <t>UPPVIDINGE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32881-2025</t>
        </is>
      </c>
      <c r="B803" s="1" t="n">
        <v>45839</v>
      </c>
      <c r="C803" s="1" t="n">
        <v>45883</v>
      </c>
      <c r="D803" t="inlineStr">
        <is>
          <t>KRONOBERGS LÄN</t>
        </is>
      </c>
      <c r="E803" t="inlineStr">
        <is>
          <t>UPPVIDINGE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33252-2025</t>
        </is>
      </c>
      <c r="B804" s="1" t="n">
        <v>45840.66209490741</v>
      </c>
      <c r="C804" s="1" t="n">
        <v>45883</v>
      </c>
      <c r="D804" t="inlineStr">
        <is>
          <t>KRONOBERGS LÄN</t>
        </is>
      </c>
      <c r="E804" t="inlineStr">
        <is>
          <t>UPPVIDINGE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12924-2024</t>
        </is>
      </c>
      <c r="B805" s="1" t="n">
        <v>45385.44706018519</v>
      </c>
      <c r="C805" s="1" t="n">
        <v>45883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53865-2020</t>
        </is>
      </c>
      <c r="B806" s="1" t="n">
        <v>44124</v>
      </c>
      <c r="C806" s="1" t="n">
        <v>45883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33116-2025</t>
        </is>
      </c>
      <c r="B807" s="1" t="n">
        <v>45840.49215277778</v>
      </c>
      <c r="C807" s="1" t="n">
        <v>45883</v>
      </c>
      <c r="D807" t="inlineStr">
        <is>
          <t>KRONOBERGS LÄN</t>
        </is>
      </c>
      <c r="E807" t="inlineStr">
        <is>
          <t>UPPVIDINGE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6338-2024</t>
        </is>
      </c>
      <c r="B808" s="1" t="n">
        <v>45338</v>
      </c>
      <c r="C808" s="1" t="n">
        <v>45883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6340-2024</t>
        </is>
      </c>
      <c r="B809" s="1" t="n">
        <v>45338.43268518519</v>
      </c>
      <c r="C809" s="1" t="n">
        <v>45883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37895-2025</t>
        </is>
      </c>
      <c r="B810" s="1" t="n">
        <v>45881.55119212963</v>
      </c>
      <c r="C810" s="1" t="n">
        <v>45883</v>
      </c>
      <c r="D810" t="inlineStr">
        <is>
          <t>KRONOBERGS LÄN</t>
        </is>
      </c>
      <c r="E810" t="inlineStr">
        <is>
          <t>UPPVIDINGE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32858-2025</t>
        </is>
      </c>
      <c r="B811" s="1" t="n">
        <v>45839.58087962963</v>
      </c>
      <c r="C811" s="1" t="n">
        <v>45883</v>
      </c>
      <c r="D811" t="inlineStr">
        <is>
          <t>KRONOBERGS LÄN</t>
        </is>
      </c>
      <c r="E811" t="inlineStr">
        <is>
          <t>UPPVIDINGE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57651-2022</t>
        </is>
      </c>
      <c r="B812" s="1" t="n">
        <v>44897.42872685185</v>
      </c>
      <c r="C812" s="1" t="n">
        <v>45883</v>
      </c>
      <c r="D812" t="inlineStr">
        <is>
          <t>KRONOBERGS LÄN</t>
        </is>
      </c>
      <c r="E812" t="inlineStr">
        <is>
          <t>UPPVIDINGE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50487-2021</t>
        </is>
      </c>
      <c r="B813" s="1" t="n">
        <v>44459.56224537037</v>
      </c>
      <c r="C813" s="1" t="n">
        <v>45883</v>
      </c>
      <c r="D813" t="inlineStr">
        <is>
          <t>KRONOBERGS LÄN</t>
        </is>
      </c>
      <c r="E813" t="inlineStr">
        <is>
          <t>UPPVIDINGE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4169-2023</t>
        </is>
      </c>
      <c r="B814" s="1" t="n">
        <v>44951</v>
      </c>
      <c r="C814" s="1" t="n">
        <v>45883</v>
      </c>
      <c r="D814" t="inlineStr">
        <is>
          <t>KRONOBERGS LÄN</t>
        </is>
      </c>
      <c r="E814" t="inlineStr">
        <is>
          <t>UPPVIDINGE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3604-2023</t>
        </is>
      </c>
      <c r="B815" s="1" t="n">
        <v>44946</v>
      </c>
      <c r="C815" s="1" t="n">
        <v>45883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41810-2024</t>
        </is>
      </c>
      <c r="B816" s="1" t="n">
        <v>45561.3744212963</v>
      </c>
      <c r="C816" s="1" t="n">
        <v>45883</v>
      </c>
      <c r="D816" t="inlineStr">
        <is>
          <t>KRONOBERGS LÄN</t>
        </is>
      </c>
      <c r="E816" t="inlineStr">
        <is>
          <t>UPPVIDINGE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62346-2020</t>
        </is>
      </c>
      <c r="B817" s="1" t="n">
        <v>44160</v>
      </c>
      <c r="C817" s="1" t="n">
        <v>45883</v>
      </c>
      <c r="D817" t="inlineStr">
        <is>
          <t>KRONOBERGS LÄN</t>
        </is>
      </c>
      <c r="E817" t="inlineStr">
        <is>
          <t>UPPVIDINGE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61100-2023</t>
        </is>
      </c>
      <c r="B818" s="1" t="n">
        <v>45261</v>
      </c>
      <c r="C818" s="1" t="n">
        <v>45883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73667-2021</t>
        </is>
      </c>
      <c r="B819" s="1" t="n">
        <v>44552.46184027778</v>
      </c>
      <c r="C819" s="1" t="n">
        <v>45883</v>
      </c>
      <c r="D819" t="inlineStr">
        <is>
          <t>KRONOBERGS LÄN</t>
        </is>
      </c>
      <c r="E819" t="inlineStr">
        <is>
          <t>UPPVIDINGE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5514-2022</t>
        </is>
      </c>
      <c r="B820" s="1" t="n">
        <v>44595.55912037037</v>
      </c>
      <c r="C820" s="1" t="n">
        <v>45883</v>
      </c>
      <c r="D820" t="inlineStr">
        <is>
          <t>KRONOBERGS LÄN</t>
        </is>
      </c>
      <c r="E820" t="inlineStr">
        <is>
          <t>UPPVIDINGE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69941-2021</t>
        </is>
      </c>
      <c r="B821" s="1" t="n">
        <v>44533.35804398148</v>
      </c>
      <c r="C821" s="1" t="n">
        <v>45883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39095-2023</t>
        </is>
      </c>
      <c r="B822" s="1" t="n">
        <v>45164</v>
      </c>
      <c r="C822" s="1" t="n">
        <v>45883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12427-2022</t>
        </is>
      </c>
      <c r="B823" s="1" t="n">
        <v>44638.34265046296</v>
      </c>
      <c r="C823" s="1" t="n">
        <v>45883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53497-2023</t>
        </is>
      </c>
      <c r="B824" s="1" t="n">
        <v>45230.37582175926</v>
      </c>
      <c r="C824" s="1" t="n">
        <v>45883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45288-2020</t>
        </is>
      </c>
      <c r="B825" s="1" t="n">
        <v>44089.35689814815</v>
      </c>
      <c r="C825" s="1" t="n">
        <v>45883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55327-2022</t>
        </is>
      </c>
      <c r="B826" s="1" t="n">
        <v>44887</v>
      </c>
      <c r="C826" s="1" t="n">
        <v>45883</v>
      </c>
      <c r="D826" t="inlineStr">
        <is>
          <t>KRONOBERGS LÄN</t>
        </is>
      </c>
      <c r="E826" t="inlineStr">
        <is>
          <t>UPPVIDINGE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53434-2021</t>
        </is>
      </c>
      <c r="B827" s="1" t="n">
        <v>44468.65578703704</v>
      </c>
      <c r="C827" s="1" t="n">
        <v>45883</v>
      </c>
      <c r="D827" t="inlineStr">
        <is>
          <t>KRONOBERGS LÄN</t>
        </is>
      </c>
      <c r="E827" t="inlineStr">
        <is>
          <t>UPPVIDINGE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19243-2024</t>
        </is>
      </c>
      <c r="B828" s="1" t="n">
        <v>45428.57578703704</v>
      </c>
      <c r="C828" s="1" t="n">
        <v>45883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14952-2024</t>
        </is>
      </c>
      <c r="B829" s="1" t="n">
        <v>45398.79873842592</v>
      </c>
      <c r="C829" s="1" t="n">
        <v>45883</v>
      </c>
      <c r="D829" t="inlineStr">
        <is>
          <t>KRONOBERGS LÄN</t>
        </is>
      </c>
      <c r="E829" t="inlineStr">
        <is>
          <t>UPPVIDINGE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47916-2023</t>
        </is>
      </c>
      <c r="B830" s="1" t="n">
        <v>45204</v>
      </c>
      <c r="C830" s="1" t="n">
        <v>45883</v>
      </c>
      <c r="D830" t="inlineStr">
        <is>
          <t>KRONOBERGS LÄN</t>
        </is>
      </c>
      <c r="E830" t="inlineStr">
        <is>
          <t>UPPVIDINGE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51915-2024</t>
        </is>
      </c>
      <c r="B831" s="1" t="n">
        <v>45607.60341435186</v>
      </c>
      <c r="C831" s="1" t="n">
        <v>45883</v>
      </c>
      <c r="D831" t="inlineStr">
        <is>
          <t>KRONOBERGS LÄN</t>
        </is>
      </c>
      <c r="E831" t="inlineStr">
        <is>
          <t>UPPVIDINGE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49425-2024</t>
        </is>
      </c>
      <c r="B832" s="1" t="n">
        <v>45595.77847222222</v>
      </c>
      <c r="C832" s="1" t="n">
        <v>45883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38547-2024</t>
        </is>
      </c>
      <c r="B833" s="1" t="n">
        <v>45546.60894675926</v>
      </c>
      <c r="C833" s="1" t="n">
        <v>45883</v>
      </c>
      <c r="D833" t="inlineStr">
        <is>
          <t>KRONOBERGS LÄN</t>
        </is>
      </c>
      <c r="E833" t="inlineStr">
        <is>
          <t>UPPVIDINGE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51438-2024</t>
        </is>
      </c>
      <c r="B834" s="1" t="n">
        <v>45604.47792824074</v>
      </c>
      <c r="C834" s="1" t="n">
        <v>45883</v>
      </c>
      <c r="D834" t="inlineStr">
        <is>
          <t>KRONOBERGS LÄN</t>
        </is>
      </c>
      <c r="E834" t="inlineStr">
        <is>
          <t>UPPVIDINGE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52865-2023</t>
        </is>
      </c>
      <c r="B835" s="1" t="n">
        <v>45226.45565972223</v>
      </c>
      <c r="C835" s="1" t="n">
        <v>45883</v>
      </c>
      <c r="D835" t="inlineStr">
        <is>
          <t>KRONOBERGS LÄN</t>
        </is>
      </c>
      <c r="E835" t="inlineStr">
        <is>
          <t>UPPVIDINGE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2025-08-14T08:27:24Z</dcterms:created>
  <dcterms:modified xmlns:dcterms="http://purl.org/dc/terms/" xmlns:xsi="http://www.w3.org/2001/XMLSchema-instance" xsi:type="dcterms:W3CDTF">2025-08-14T08:27:24Z</dcterms:modified>
</cp:coreProperties>
</file>