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45715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45715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45715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45715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45715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45715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45715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45715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45715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45715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45715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45715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45715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45715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45715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45715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45715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45715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45715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45715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45715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45715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45715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45715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45715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45715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45715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45715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45715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45715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45715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45715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45715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45715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45715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45715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45715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45715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45715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45715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45715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45715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45715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45715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45715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45715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45715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45715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45715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45715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45715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45715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45715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45715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45715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45715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45715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45715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45715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45715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45715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45715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45715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45715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45715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45715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45715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45715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45715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45715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45715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45715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45715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45715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45715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45715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45715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45715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4720-2025</t>
        </is>
      </c>
      <c r="B86" s="1" t="n">
        <v>45688</v>
      </c>
      <c r="C86" s="1" t="n">
        <v>45715</v>
      </c>
      <c r="D86" t="inlineStr">
        <is>
          <t>KRONOBERGS LÄN</t>
        </is>
      </c>
      <c r="E86" t="inlineStr">
        <is>
          <t>UPPVIDINGE</t>
        </is>
      </c>
      <c r="G86" t="n">
        <v>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4720-2025 artfynd.xlsx", "A 4720-2025")</f>
        <v/>
      </c>
      <c r="T86">
        <f>HYPERLINK("https://klasma.github.io/Logging_0760/kartor/A 4720-2025 karta.png", "A 4720-2025")</f>
        <v/>
      </c>
      <c r="V86">
        <f>HYPERLINK("https://klasma.github.io/Logging_0760/klagomål/A 4720-2025 FSC-klagomål.docx", "A 4720-2025")</f>
        <v/>
      </c>
      <c r="W86">
        <f>HYPERLINK("https://klasma.github.io/Logging_0760/klagomålsmail/A 4720-2025 FSC-klagomål mail.docx", "A 4720-2025")</f>
        <v/>
      </c>
      <c r="X86">
        <f>HYPERLINK("https://klasma.github.io/Logging_0760/tillsyn/A 4720-2025 tillsynsbegäran.docx", "A 4720-2025")</f>
        <v/>
      </c>
      <c r="Y86">
        <f>HYPERLINK("https://klasma.github.io/Logging_0760/tillsynsmail/A 4720-2025 tillsynsbegäran mail.docx", "A 4720-2025")</f>
        <v/>
      </c>
    </row>
    <row r="87" ht="15" customHeight="1">
      <c r="A87" t="inlineStr">
        <is>
          <t>A 4801-2025</t>
        </is>
      </c>
      <c r="B87" s="1" t="n">
        <v>45688</v>
      </c>
      <c r="C87" s="1" t="n">
        <v>45715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4801-2025 artfynd.xlsx", "A 4801-2025")</f>
        <v/>
      </c>
      <c r="T87">
        <f>HYPERLINK("https://klasma.github.io/Logging_0760/kartor/A 4801-2025 karta.png", "A 4801-2025")</f>
        <v/>
      </c>
      <c r="V87">
        <f>HYPERLINK("https://klasma.github.io/Logging_0760/klagomål/A 4801-2025 FSC-klagomål.docx", "A 4801-2025")</f>
        <v/>
      </c>
      <c r="W87">
        <f>HYPERLINK("https://klasma.github.io/Logging_0760/klagomålsmail/A 4801-2025 FSC-klagomål mail.docx", "A 4801-2025")</f>
        <v/>
      </c>
      <c r="X87">
        <f>HYPERLINK("https://klasma.github.io/Logging_0760/tillsyn/A 4801-2025 tillsynsbegäran.docx", "A 4801-2025")</f>
        <v/>
      </c>
      <c r="Y87">
        <f>HYPERLINK("https://klasma.github.io/Logging_0760/tillsynsmail/A 4801-2025 tillsynsbegäran mail.docx", "A 4801-2025")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45715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45715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45715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45715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45715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45715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45715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45715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45715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45715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45715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45715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45715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45715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45715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45715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45715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45715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45715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45715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45715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45715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45715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45715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45715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45715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45715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45715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45715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45715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45715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45715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45715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45715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45715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45715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45715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45715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45715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45715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45715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45715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45715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45715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45715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45715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45715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45715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45715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45715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45715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45715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45715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45715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45715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45715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45715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45715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45715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45715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45715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45715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45715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45715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45715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45715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45715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45715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45715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45715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45715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45715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45715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45715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45715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45715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45715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45715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45715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45715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45715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45715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45715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45715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45715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45715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45715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45715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45715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45715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45715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45715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45715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45715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45715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45715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45715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45715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45715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45715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45715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45715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45715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45715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45715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45715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45715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45715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45715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45715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45715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45715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45715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45715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45715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45715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45715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45715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45715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45715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45715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45715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45715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45715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45715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45715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45715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45715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45715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45715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45715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45715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45715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45715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45715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45715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45715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45715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45715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45715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45715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45715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45715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45715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45715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45715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45715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45715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45715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45715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45715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45715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45715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45715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45715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45715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45715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45715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45715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45715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45715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45715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45715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45715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45715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45715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45715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45715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45715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45715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45715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45715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45715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45715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45715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45715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45715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45715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45715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45715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45715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45715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45715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45715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45715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45715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45715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45715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45715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45715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45715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45715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45715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45715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45715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45715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45715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45715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45715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45715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45715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45715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45715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45715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45715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45715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45715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45715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45715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45715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45715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45715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45715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45715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45715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45715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45715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45715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45715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45715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45715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45715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45715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45715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45715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45715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45715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45715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45715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45715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45715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45715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45715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45715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45715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45715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45715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45715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45715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45715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45715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45715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45715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45715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45715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45715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45715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45715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45715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45715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45715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45715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45715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45715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45715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45715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45715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45715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45715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45715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45715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45715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45715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45715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45715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45715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45715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45715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45715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45715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45715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45715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45715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45715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45715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45715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45715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45715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45715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45715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45715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45715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45715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45715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45715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45715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45715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45715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45715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45715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45715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45715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45715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45715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45715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45715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45715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45715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45715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45715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45715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45715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45715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45715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45715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45715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45715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45715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45715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45715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45715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45715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45715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45715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45715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45715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45715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45715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45715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45715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45715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45715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45715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45715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45715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45715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45715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45715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45715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45715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45715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45715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45715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45715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45715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45715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45715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45715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45715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45715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45715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45715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45715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45715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45715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45715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45715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45715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45715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45715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45715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45715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45715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45715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45715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45715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45715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45715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45715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45715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45715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45715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45715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45715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45715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45715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45715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45715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45715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45715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45715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45715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45715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45715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45715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45715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45715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45715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45715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45715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45715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45715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45715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45715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45715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45715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45715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45715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45715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45715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45715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45715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45715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45715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45715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45715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45715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45715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45715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45715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45715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45715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45715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45715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45715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45715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45715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45715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45715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45715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45715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45715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45715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45715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45715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45715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45715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45715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45715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45715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45715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45715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45715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45715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45715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45715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45715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45715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45715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45715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45715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45715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45715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45715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45715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45715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45715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45715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45715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45715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45715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45715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45715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45715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45715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45715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45715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45715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45715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45715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45715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45715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45715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45715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45715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45715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45715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45715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45715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45715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45715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45715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45715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45715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45715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45715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45715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45715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45715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45715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45715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45715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45715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45715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45715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45715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45715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45715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45715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45715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45715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45715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45715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45715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45715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45715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45715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45715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45715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45715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45715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45715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45715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45715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45715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45715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45715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45715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45715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45715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45715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45715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45715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45715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45715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45715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45715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45715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45715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45715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45715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45715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45715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45715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45715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45715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45715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45715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45715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45715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45715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45715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45715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45715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45715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45715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45715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45715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45715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45715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45715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45715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45715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45715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45715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45715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45715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45715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45715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45715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45715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45715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45715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45715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45715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45715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45715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45715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45715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45715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45715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45715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45715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45715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45715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45715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45715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45715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45715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45715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45715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45715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45715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45715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45715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45715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45715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45715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45715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45715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45715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45715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45715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45715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45715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45715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45715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45715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45715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45715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45715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45715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45715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45715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45715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45715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45715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45715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45715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45715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45715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45715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45715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45715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45715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45715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45715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45715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45715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45715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45715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45715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45715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45715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45715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45715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45715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45715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45715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45715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45715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45715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45715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45715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45715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45715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45715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45715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45715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45715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45715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45715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45715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45715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45715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45715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45715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45715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45715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45715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45715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45715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45715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45715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45715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45715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45715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45715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45715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45715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45715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45715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45715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45715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45715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45715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45715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45715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45715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45715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45715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45715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45715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45715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45715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45715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45715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45715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45715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45715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45715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45715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45715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45715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45715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45715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45715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45715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45715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45715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45715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45715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45715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45715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45715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45715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45715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45715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45715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45715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45715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45715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45715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45715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45715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45715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45715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45715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45715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45715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45715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45715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45715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45715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45715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45715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45715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45715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45715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45715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45715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45715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45715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45715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45715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45715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45715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45715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45715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45715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45715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45715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45715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45715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45715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45715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45715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45715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45715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45715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45715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45715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45715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45715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45715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45715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45715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45715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45715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45715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45715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45715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45715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45715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45715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45715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45715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45715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45715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45715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45715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45715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45715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45715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45715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45715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45715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45715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45715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45715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45715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45715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45715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45715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45715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45715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45715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45715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45715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45715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45715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45715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45715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45715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45715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45715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45715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45715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45715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45715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45715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45715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45715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45715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45715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45715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45715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45715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45715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45715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45715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45715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45715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45715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45715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45715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45715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45715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45715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45715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45715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45715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45715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45715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45715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45715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45715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45715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45715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45715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45715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45715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45715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45715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45715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45715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45715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45715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45715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45715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45715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45715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45715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45715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45715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45715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45715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45715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45715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45715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45715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45715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45715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45715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45715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45715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45715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45715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45715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45715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45715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45715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45715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45715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45715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45715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45715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45715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45715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45715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45715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45715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45715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45715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45715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45715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45715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45715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45715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45715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45715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45715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45715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45715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45715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45715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45715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45715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45715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45715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45715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45715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45715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45715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45715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45715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45715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45715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45715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45715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45715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45715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45715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45715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45715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45715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45715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45715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45715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45715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45715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45715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45715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45715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45715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45715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45715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45715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45715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45715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45715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45715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45715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45715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45715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45715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45715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45715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45715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45715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45715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45715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45715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45715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45715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45715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45715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45715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45715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45715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45715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45715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45715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45715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45715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45715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45715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45715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45715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45715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45715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45715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45715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45715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45715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45715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45715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45715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45715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45715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45715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45715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45715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45715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45715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45715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45715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45715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45715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45715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45715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45715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45715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45715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45715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45715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45715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45715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45715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45715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45715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45715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45715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45715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45715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45715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45715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45715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45715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45715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45715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45715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45715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45715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45715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45715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45715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45715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45715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45715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45715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45715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45715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45715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45715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45715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45715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45715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45715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45715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45715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45715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45715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45715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45715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45715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45715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45715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45715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45715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45715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45715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45715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45715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45715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45715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45715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45715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45715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45715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45715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45715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45715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45715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45715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45715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45715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45715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45715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45715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45715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45715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45715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45715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45715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45715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45715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45715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45715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45715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45715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45715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45715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45715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45715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45715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45715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45715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45715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45715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45715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45715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45715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45715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45715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45715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45715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45715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45715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45715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45715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45715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45715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45715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45715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45715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45715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45715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45715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45715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45715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45715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45715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45715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45715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45715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45715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45715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45715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45715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45715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45715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45715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45715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45715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45715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45715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45715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45715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45715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45715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45715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45715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45715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45715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45715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45715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45715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45715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45715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45715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45715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45715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45715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45715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45715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45715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45715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45715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45715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45715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45715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45715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45715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45715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45715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45715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45715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45715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45715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45715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45715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45715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45715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45715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45715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45715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45715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45715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45715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45715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45715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45715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45715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45715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45715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45715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45715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45715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45715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45715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45715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45715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45715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45715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45715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45715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45715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45715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45715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45715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45715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45715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45715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45715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45715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45715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45715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45715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45715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45715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45715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45715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45715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45715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45715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45715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45715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45715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45715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45715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45715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45715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45715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45715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45715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45715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45715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45715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45715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45715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45715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45715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45715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45715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45715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45715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45715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45715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45715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45715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45715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45715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45715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45715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45715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45715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45715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45715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45715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45715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45715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45715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45715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45715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45715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45715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45715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45715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45715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45715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45715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45715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45715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45715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45715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45715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45715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45715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45715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45715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45715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45715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45715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45715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45715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45715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45715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45715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45715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45715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45715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45715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45715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45715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45715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45715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45715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45715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45715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45715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45715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45715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45715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45715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45715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45715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45715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45715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45715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45715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45715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45715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45715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45715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45715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45715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45715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45715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45715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45715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45715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45715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45715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45715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45715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45715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45715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45715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45715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45715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45715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45715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45715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45715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45715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45715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45715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45715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45715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45715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45715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45715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45715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45715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45715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45715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45715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45715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45715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45715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45715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45715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45715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4799-2025</t>
        </is>
      </c>
      <c r="B1438" s="1" t="n">
        <v>45688</v>
      </c>
      <c r="C1438" s="1" t="n">
        <v>45715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6.8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45715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4830-2025</t>
        </is>
      </c>
      <c r="B1440" s="1" t="n">
        <v>45688</v>
      </c>
      <c r="C1440" s="1" t="n">
        <v>45715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45715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45715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45715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45715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45715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45715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5493-2025</t>
        </is>
      </c>
      <c r="B1447" s="1" t="n">
        <v>45692</v>
      </c>
      <c r="C1447" s="1" t="n">
        <v>45715</v>
      </c>
      <c r="D1447" t="inlineStr">
        <is>
          <t>KRONOBERGS LÄN</t>
        </is>
      </c>
      <c r="E1447" t="inlineStr">
        <is>
          <t>UPPVIDINGE</t>
        </is>
      </c>
      <c r="F1447" t="inlineStr">
        <is>
          <t>Kyrkan</t>
        </is>
      </c>
      <c r="G1447" t="n">
        <v>6.2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5500-2025</t>
        </is>
      </c>
      <c r="B1448" s="1" t="n">
        <v>45692</v>
      </c>
      <c r="C1448" s="1" t="n">
        <v>45715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9.4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45715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5282-2025</t>
        </is>
      </c>
      <c r="B1450" s="1" t="n">
        <v>45692</v>
      </c>
      <c r="C1450" s="1" t="n">
        <v>45715</v>
      </c>
      <c r="D1450" t="inlineStr">
        <is>
          <t>KRONOBERGS LÄN</t>
        </is>
      </c>
      <c r="E1450" t="inlineStr">
        <is>
          <t>UPPVIDINGE</t>
        </is>
      </c>
      <c r="G1450" t="n">
        <v>8.6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45715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45715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45715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45715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45715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7142-2025</t>
        </is>
      </c>
      <c r="B1456" s="1" t="n">
        <v>45702</v>
      </c>
      <c r="C1456" s="1" t="n">
        <v>45715</v>
      </c>
      <c r="D1456" t="inlineStr">
        <is>
          <t>KRONOBERGS LÄN</t>
        </is>
      </c>
      <c r="E1456" t="inlineStr">
        <is>
          <t>UPPVIDINGE</t>
        </is>
      </c>
      <c r="G1456" t="n">
        <v>2.9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7140-2025</t>
        </is>
      </c>
      <c r="B1457" s="1" t="n">
        <v>45702</v>
      </c>
      <c r="C1457" s="1" t="n">
        <v>45715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45715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7139-2025</t>
        </is>
      </c>
      <c r="B1459" s="1" t="n">
        <v>45702</v>
      </c>
      <c r="C1459" s="1" t="n">
        <v>45715</v>
      </c>
      <c r="D1459" t="inlineStr">
        <is>
          <t>KRONOBERGS LÄN</t>
        </is>
      </c>
      <c r="E1459" t="inlineStr">
        <is>
          <t>UPPVIDINGE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7402-2025</t>
        </is>
      </c>
      <c r="B1460" s="1" t="n">
        <v>45705</v>
      </c>
      <c r="C1460" s="1" t="n">
        <v>45715</v>
      </c>
      <c r="D1460" t="inlineStr">
        <is>
          <t>KRONOBERGS LÄN</t>
        </is>
      </c>
      <c r="E1460" t="inlineStr">
        <is>
          <t>UPPVIDINGE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7403-2025</t>
        </is>
      </c>
      <c r="B1461" s="1" t="n">
        <v>45705</v>
      </c>
      <c r="C1461" s="1" t="n">
        <v>45715</v>
      </c>
      <c r="D1461" t="inlineStr">
        <is>
          <t>KRONOBERGS LÄN</t>
        </is>
      </c>
      <c r="E1461" t="inlineStr">
        <is>
          <t>UPPVIDINGE</t>
        </is>
      </c>
      <c r="G1461" t="n">
        <v>1.1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45715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45715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45715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8163-2025</t>
        </is>
      </c>
      <c r="B1465" s="1" t="n">
        <v>45708</v>
      </c>
      <c r="C1465" s="1" t="n">
        <v>45715</v>
      </c>
      <c r="D1465" t="inlineStr">
        <is>
          <t>KRONOBERGS LÄN</t>
        </is>
      </c>
      <c r="E1465" t="inlineStr">
        <is>
          <t>UPPVIDINGE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8161-2025</t>
        </is>
      </c>
      <c r="B1466" s="1" t="n">
        <v>45708</v>
      </c>
      <c r="C1466" s="1" t="n">
        <v>45715</v>
      </c>
      <c r="D1466" t="inlineStr">
        <is>
          <t>KRONOBERGS LÄN</t>
        </is>
      </c>
      <c r="E1466" t="inlineStr">
        <is>
          <t>UPPVIDINGE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45715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8372-2025</t>
        </is>
      </c>
      <c r="B1468" s="1" t="n">
        <v>45709</v>
      </c>
      <c r="C1468" s="1" t="n">
        <v>45715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8405-2025</t>
        </is>
      </c>
      <c r="B1469" s="1" t="n">
        <v>45709</v>
      </c>
      <c r="C1469" s="1" t="n">
        <v>45715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1.7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8421-2025</t>
        </is>
      </c>
      <c r="B1470" s="1" t="n">
        <v>45709</v>
      </c>
      <c r="C1470" s="1" t="n">
        <v>45715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3.7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8433-2025</t>
        </is>
      </c>
      <c r="B1471" s="1" t="n">
        <v>45709</v>
      </c>
      <c r="C1471" s="1" t="n">
        <v>45715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8408-2025</t>
        </is>
      </c>
      <c r="B1472" s="1" t="n">
        <v>45709</v>
      </c>
      <c r="C1472" s="1" t="n">
        <v>45715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8416-2025</t>
        </is>
      </c>
      <c r="B1473" s="1" t="n">
        <v>45709</v>
      </c>
      <c r="C1473" s="1" t="n">
        <v>45715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7.2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8420-2025</t>
        </is>
      </c>
      <c r="B1474" s="1" t="n">
        <v>45709</v>
      </c>
      <c r="C1474" s="1" t="n">
        <v>45715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8374-2025</t>
        </is>
      </c>
      <c r="B1475" s="1" t="n">
        <v>45709</v>
      </c>
      <c r="C1475" s="1" t="n">
        <v>45715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4.2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8411-2025</t>
        </is>
      </c>
      <c r="B1476" s="1" t="n">
        <v>45709</v>
      </c>
      <c r="C1476" s="1" t="n">
        <v>45715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8415-2025</t>
        </is>
      </c>
      <c r="B1477" s="1" t="n">
        <v>45709</v>
      </c>
      <c r="C1477" s="1" t="n">
        <v>45715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8423-2025</t>
        </is>
      </c>
      <c r="B1478" s="1" t="n">
        <v>45709</v>
      </c>
      <c r="C1478" s="1" t="n">
        <v>45715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5.9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8418-2025</t>
        </is>
      </c>
      <c r="B1479" s="1" t="n">
        <v>45709</v>
      </c>
      <c r="C1479" s="1" t="n">
        <v>45715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8430-2025</t>
        </is>
      </c>
      <c r="B1480" s="1" t="n">
        <v>45709</v>
      </c>
      <c r="C1480" s="1" t="n">
        <v>45715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>
      <c r="A1481" t="inlineStr">
        <is>
          <t>A 9165-2025</t>
        </is>
      </c>
      <c r="B1481" s="1" t="n">
        <v>45714</v>
      </c>
      <c r="C1481" s="1" t="n">
        <v>45715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2025-02-27T16:34:00Z</dcterms:created>
  <dcterms:modified xmlns:dcterms="http://purl.org/dc/terms/" xmlns:xsi="http://www.w3.org/2001/XMLSchema-instance" xsi:type="dcterms:W3CDTF">2025-02-27T16:34:01Z</dcterms:modified>
</cp:coreProperties>
</file>